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ory" sheetId="1" state="visible" r:id="rId3"/>
    <sheet name="How to fill this in" sheetId="2" state="visible" r:id="rId4"/>
  </sheets>
  <definedNames>
    <definedName function="false" hidden="true" localSheetId="0" name="_xlnm._FilterDatabase" vbProcedure="false">Inventory!$A$2:$O$2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<sst xmlns="http://schemas.openxmlformats.org/spreadsheetml/2006/main" count="1129" uniqueCount="691">
  <si>
    <t xml:space="preserve">Catalog fields (go into Square)</t>
  </si>
  <si>
    <t xml:space="preserve">Scent fields (power recommendations)</t>
  </si>
  <si>
    <t xml:space="preserve">Brand</t>
  </si>
  <si>
    <t xml:space="preserve">Product Name</t>
  </si>
  <si>
    <t xml:space="preserve">Concentration</t>
  </si>
  <si>
    <t xml:space="preserve">Size</t>
  </si>
  <si>
    <t xml:space="preserve">SKU (auto)</t>
  </si>
  <si>
    <t xml:space="preserve">Barcode / UPC</t>
  </si>
  <si>
    <t xml:space="preserve">Price ($)</t>
  </si>
  <si>
    <t xml:space="preserve">Cost ($)</t>
  </si>
  <si>
    <t xml:space="preserve">Qty on Hand</t>
  </si>
  <si>
    <t xml:space="preserve">Scent Family</t>
  </si>
  <si>
    <t xml:space="preserve">Top Notes</t>
  </si>
  <si>
    <t xml:space="preserve">Heart Notes</t>
  </si>
  <si>
    <t xml:space="preserve">Base Notes</t>
  </si>
  <si>
    <t xml:space="preserve">Gender</t>
  </si>
  <si>
    <t xml:space="preserve">Description (optional)</t>
  </si>
  <si>
    <t xml:space="preserve">Dior</t>
  </si>
  <si>
    <t xml:space="preserve">Sauvage</t>
  </si>
  <si>
    <t xml:space="preserve">EDT</t>
  </si>
  <si>
    <t xml:space="preserve">100ml</t>
  </si>
  <si>
    <t xml:space="preserve">200100000000</t>
  </si>
  <si>
    <t xml:space="preserve">Aromatic</t>
  </si>
  <si>
    <t xml:space="preserve">Bergamot, Pepper</t>
  </si>
  <si>
    <t xml:space="preserve">Sichuan Pepper, Lavender, Star Anise</t>
  </si>
  <si>
    <t xml:space="preserve">Ambroxan, Cedar, Labdanum</t>
  </si>
  <si>
    <t xml:space="preserve">Masculine</t>
  </si>
  <si>
    <t xml:space="preserve">Crisp and herbal everyday scent — opens with bergamot and settles into ambroxan.</t>
  </si>
  <si>
    <t xml:space="preserve">Chanel</t>
  </si>
  <si>
    <t xml:space="preserve">Bleu de Chanel</t>
  </si>
  <si>
    <t xml:space="preserve">EDP</t>
  </si>
  <si>
    <t xml:space="preserve">200100000137</t>
  </si>
  <si>
    <t xml:space="preserve">Woody</t>
  </si>
  <si>
    <t xml:space="preserve">Grapefruit, Lemon, Mint</t>
  </si>
  <si>
    <t xml:space="preserve">Ginger, Nutmeg, Jasmine</t>
  </si>
  <si>
    <t xml:space="preserve">Incense, Cedar, Sandalwood</t>
  </si>
  <si>
    <t xml:space="preserve">Warm and woody everyday scent — opens with grapefruit and settles into incense.</t>
  </si>
  <si>
    <t xml:space="preserve">Creed</t>
  </si>
  <si>
    <t xml:space="preserve">Aventus</t>
  </si>
  <si>
    <t xml:space="preserve">200100000274</t>
  </si>
  <si>
    <t xml:space="preserve">Chypre</t>
  </si>
  <si>
    <t xml:space="preserve">Pineapple, Bergamot, Blackcurrant, Apple</t>
  </si>
  <si>
    <t xml:space="preserve">Birch, Patchouli, Jasmine</t>
  </si>
  <si>
    <t xml:space="preserve">Musk, Oakmoss, Vanilla</t>
  </si>
  <si>
    <t xml:space="preserve">Rich and sophisticated everyday scent — opens with pineapple and settles into musk.</t>
  </si>
  <si>
    <t xml:space="preserve">Paco Rabanne</t>
  </si>
  <si>
    <t xml:space="preserve">1 Million</t>
  </si>
  <si>
    <t xml:space="preserve">200100000411</t>
  </si>
  <si>
    <t xml:space="preserve">Amber/Oriental</t>
  </si>
  <si>
    <t xml:space="preserve">Grapefruit, Mint, Blood Mandarin</t>
  </si>
  <si>
    <t xml:space="preserve">Rose, Cinnamon, Spices</t>
  </si>
  <si>
    <t xml:space="preserve">Leather, Amber, Woody Notes</t>
  </si>
  <si>
    <t xml:space="preserve">Warm and sensual everyday scent — opens with grapefruit and settles into leather.</t>
  </si>
  <si>
    <t xml:space="preserve">Invictus</t>
  </si>
  <si>
    <t xml:space="preserve">200100000548</t>
  </si>
  <si>
    <t xml:space="preserve">Grapefruit, Marine Notes</t>
  </si>
  <si>
    <t xml:space="preserve">Bay Leaf, Jasmine</t>
  </si>
  <si>
    <t xml:space="preserve">Guaiac Wood, Oakmoss, Ambergris</t>
  </si>
  <si>
    <t xml:space="preserve">Crisp and herbal everyday scent — opens with grapefruit and settles into guaiac wood.</t>
  </si>
  <si>
    <t xml:space="preserve">Versace</t>
  </si>
  <si>
    <t xml:space="preserve">Eros</t>
  </si>
  <si>
    <t xml:space="preserve">200100000685</t>
  </si>
  <si>
    <t xml:space="preserve">Mint, Green Apple, Lemon</t>
  </si>
  <si>
    <t xml:space="preserve">Tonka Bean, Geranium, Ambroxan</t>
  </si>
  <si>
    <t xml:space="preserve">Madagascar Vanilla, Cedar, Vetiver</t>
  </si>
  <si>
    <t xml:space="preserve">Crisp and herbal everyday scent — opens with mint and settles into madagascar vanilla.</t>
  </si>
  <si>
    <t xml:space="preserve">Dylan Blue</t>
  </si>
  <si>
    <t xml:space="preserve">200100000822</t>
  </si>
  <si>
    <t xml:space="preserve">Bergamot, Grapefruit, Fig Leaf</t>
  </si>
  <si>
    <t xml:space="preserve">Violet Leaf, Papyrus, Patchouli</t>
  </si>
  <si>
    <t xml:space="preserve">Musk, Tonka, Saffron</t>
  </si>
  <si>
    <t xml:space="preserve">Crisp and herbal everyday scent — opens with bergamot and settles into musk.</t>
  </si>
  <si>
    <t xml:space="preserve">Dior Homme Intense</t>
  </si>
  <si>
    <t xml:space="preserve">200100000959</t>
  </si>
  <si>
    <t xml:space="preserve">Lavender</t>
  </si>
  <si>
    <t xml:space="preserve">Iris, Ambrette, Pear</t>
  </si>
  <si>
    <t xml:space="preserve">Vetiver, Cedar</t>
  </si>
  <si>
    <t xml:space="preserve">Warm and woody everyday scent — opens with lavender and settles into vetiver.</t>
  </si>
  <si>
    <t xml:space="preserve">Giorgio Armani</t>
  </si>
  <si>
    <t xml:space="preserve">Acqua di Gio</t>
  </si>
  <si>
    <t xml:space="preserve">200100001096</t>
  </si>
  <si>
    <t xml:space="preserve">Fresh/Aquatic</t>
  </si>
  <si>
    <t xml:space="preserve">Bergamot, Neroli, Green Tangerine</t>
  </si>
  <si>
    <t xml:space="preserve">Jasmine, Sea Notes, Rosemary</t>
  </si>
  <si>
    <t xml:space="preserve">Patchouli, Cedar, Musk</t>
  </si>
  <si>
    <t xml:space="preserve">Clean and breezy everyday scent — opens with bergamot and settles into patchouli.</t>
  </si>
  <si>
    <t xml:space="preserve">Acqua di Gio Profumo</t>
  </si>
  <si>
    <t xml:space="preserve">75ml</t>
  </si>
  <si>
    <t xml:space="preserve">200100001233</t>
  </si>
  <si>
    <t xml:space="preserve">Bergamot, Sea Notes</t>
  </si>
  <si>
    <t xml:space="preserve">Geranium, Sage, Rosemary</t>
  </si>
  <si>
    <t xml:space="preserve">Incense, Patchouli</t>
  </si>
  <si>
    <t xml:space="preserve">Clean and breezy everyday scent — opens with bergamot and settles into incense.</t>
  </si>
  <si>
    <t xml:space="preserve">Yves Saint Laurent</t>
  </si>
  <si>
    <t xml:space="preserve">La Nuit de L'Homme</t>
  </si>
  <si>
    <t xml:space="preserve">200100001370</t>
  </si>
  <si>
    <t xml:space="preserve">Cardamom, Bergamot</t>
  </si>
  <si>
    <t xml:space="preserve">Lavender, Cedar, Cumin</t>
  </si>
  <si>
    <t xml:space="preserve">Vetiver, Coumarin</t>
  </si>
  <si>
    <t xml:space="preserve">Warm and sensual everyday scent — opens with cardamom and settles into vetiver.</t>
  </si>
  <si>
    <t xml:space="preserve">Y</t>
  </si>
  <si>
    <t xml:space="preserve">200100001507</t>
  </si>
  <si>
    <t xml:space="preserve">Bergamot, Ginger, Sage</t>
  </si>
  <si>
    <t xml:space="preserve">Juniper, Geranium, Sage</t>
  </si>
  <si>
    <t xml:space="preserve">Amberwood, Tonka, Cedar</t>
  </si>
  <si>
    <t xml:space="preserve">Crisp and herbal everyday scent — opens with bergamot and settles into amberwood.</t>
  </si>
  <si>
    <t xml:space="preserve">Jean Paul Gaultier</t>
  </si>
  <si>
    <t xml:space="preserve">Le Male</t>
  </si>
  <si>
    <t xml:space="preserve">200100001644</t>
  </si>
  <si>
    <t xml:space="preserve">Fougère</t>
  </si>
  <si>
    <t xml:space="preserve">Mint, Lavender, Bergamot</t>
  </si>
  <si>
    <t xml:space="preserve">Cinnamon, Cumin, Orange Blossom</t>
  </si>
  <si>
    <t xml:space="preserve">Vanilla, Tonka, Sandalwood</t>
  </si>
  <si>
    <t xml:space="preserve">Classic and fresh everyday scent — opens with mint and settles into vanilla.</t>
  </si>
  <si>
    <t xml:space="preserve">Le Male Le Parfum</t>
  </si>
  <si>
    <t xml:space="preserve">200100001781</t>
  </si>
  <si>
    <t xml:space="preserve">Cardamom, Mint</t>
  </si>
  <si>
    <t xml:space="preserve">Vanilla, Tonka Bean</t>
  </si>
  <si>
    <t xml:space="preserve">Warm and sensual everyday scent — opens with cardamom and settles into vanilla.</t>
  </si>
  <si>
    <t xml:space="preserve">Prada</t>
  </si>
  <si>
    <t xml:space="preserve">Luna Rossa Carbon</t>
  </si>
  <si>
    <t xml:space="preserve">200100001918</t>
  </si>
  <si>
    <t xml:space="preserve">Lavender, Coumarin</t>
  </si>
  <si>
    <t xml:space="preserve">Ambroxan, Patchouli, Metallic Notes</t>
  </si>
  <si>
    <t xml:space="preserve">Montblanc</t>
  </si>
  <si>
    <t xml:space="preserve">Explorer</t>
  </si>
  <si>
    <t xml:space="preserve">200100002055</t>
  </si>
  <si>
    <t xml:space="preserve">Bergamot, Pink Pepper, Clary Sage</t>
  </si>
  <si>
    <t xml:space="preserve">Leather, Vetiver</t>
  </si>
  <si>
    <t xml:space="preserve">Patchouli, Ambroxan, Cacao</t>
  </si>
  <si>
    <t xml:space="preserve">Warm and woody everyday scent — opens with bergamot and settles into patchouli.</t>
  </si>
  <si>
    <t xml:space="preserve">Legend</t>
  </si>
  <si>
    <t xml:space="preserve">200100002192</t>
  </si>
  <si>
    <t xml:space="preserve">Bergamot, Lavender, Pineapple</t>
  </si>
  <si>
    <t xml:space="preserve">Red Apple, Rose, Geranium</t>
  </si>
  <si>
    <t xml:space="preserve">Tonka, Sandalwood, Oakmoss</t>
  </si>
  <si>
    <t xml:space="preserve">Classic and fresh everyday scent — opens with bergamot and settles into tonka.</t>
  </si>
  <si>
    <t xml:space="preserve">Azzaro</t>
  </si>
  <si>
    <t xml:space="preserve">Chrome</t>
  </si>
  <si>
    <t xml:space="preserve">200100002329</t>
  </si>
  <si>
    <t xml:space="preserve">Citrus</t>
  </si>
  <si>
    <t xml:space="preserve">Lemon, Bergamot, Pineapple</t>
  </si>
  <si>
    <t xml:space="preserve">Jasmine, Cyclamen, Coriander</t>
  </si>
  <si>
    <t xml:space="preserve">Musk, Oakmoss, Sandalwood</t>
  </si>
  <si>
    <t xml:space="preserve">Bright and zesty everyday scent — opens with lemon and settles into musk.</t>
  </si>
  <si>
    <t xml:space="preserve">Wanted</t>
  </si>
  <si>
    <t xml:space="preserve">200100002466</t>
  </si>
  <si>
    <t xml:space="preserve">Lemon, Ginger, Mint</t>
  </si>
  <si>
    <t xml:space="preserve">Cardamom, Lavender, Vetiver</t>
  </si>
  <si>
    <t xml:space="preserve">Tonka, Amberwood, Vetiver</t>
  </si>
  <si>
    <t xml:space="preserve">Warm and sensual everyday scent — opens with lemon and settles into tonka.</t>
  </si>
  <si>
    <t xml:space="preserve">Carolina Herrera</t>
  </si>
  <si>
    <t xml:space="preserve">Bad Boy</t>
  </si>
  <si>
    <t xml:space="preserve">200100002603</t>
  </si>
  <si>
    <t xml:space="preserve">Bergamot, White Pepper</t>
  </si>
  <si>
    <t xml:space="preserve">Cedar, Sage</t>
  </si>
  <si>
    <t xml:space="preserve">Tonka, Cacao, Amber</t>
  </si>
  <si>
    <t xml:space="preserve">Warm and sensual everyday scent — opens with bergamot and settles into tonka.</t>
  </si>
  <si>
    <t xml:space="preserve">212 VIP Men</t>
  </si>
  <si>
    <t xml:space="preserve">200100002740</t>
  </si>
  <si>
    <t xml:space="preserve">Lime, Passion Fruit, Pepper</t>
  </si>
  <si>
    <t xml:space="preserve">Vodka, Ginger</t>
  </si>
  <si>
    <t xml:space="preserve">Amber, Leather, Musk</t>
  </si>
  <si>
    <t xml:space="preserve">Warm and sensual everyday scent — opens with lime and settles into amber.</t>
  </si>
  <si>
    <t xml:space="preserve">Dolce &amp; Gabbana</t>
  </si>
  <si>
    <t xml:space="preserve">The One for Men</t>
  </si>
  <si>
    <t xml:space="preserve">200100002877</t>
  </si>
  <si>
    <t xml:space="preserve">Grapefruit, Coriander, Basil</t>
  </si>
  <si>
    <t xml:space="preserve">Cardamom, Ginger, Orange Blossom</t>
  </si>
  <si>
    <t xml:space="preserve">Tobacco, Amber, Cedar</t>
  </si>
  <si>
    <t xml:space="preserve">Warm and sensual everyday scent — opens with grapefruit and settles into tobacco.</t>
  </si>
  <si>
    <t xml:space="preserve">Light Blue Pour Homme</t>
  </si>
  <si>
    <t xml:space="preserve">200100003014</t>
  </si>
  <si>
    <t xml:space="preserve">Grapefruit, Bergamot, Mandarin</t>
  </si>
  <si>
    <t xml:space="preserve">Pepper, Rosemary, Rosewood</t>
  </si>
  <si>
    <t xml:space="preserve">Musk, Incense, Oakmoss</t>
  </si>
  <si>
    <t xml:space="preserve">Bright and zesty everyday scent — opens with grapefruit and settles into musk.</t>
  </si>
  <si>
    <t xml:space="preserve">Tom Ford</t>
  </si>
  <si>
    <t xml:space="preserve">Oud Wood</t>
  </si>
  <si>
    <t xml:space="preserve">50ml</t>
  </si>
  <si>
    <t xml:space="preserve">200100003151</t>
  </si>
  <si>
    <t xml:space="preserve">Rosewood, Cardamom, Sichuan Pepper</t>
  </si>
  <si>
    <t xml:space="preserve">Oud, Sandalwood, Vetiver</t>
  </si>
  <si>
    <t xml:space="preserve">Tonka Bean, Vanilla, Amber</t>
  </si>
  <si>
    <t xml:space="preserve">Unisex</t>
  </si>
  <si>
    <t xml:space="preserve">Warm and woody versatile scent — opens with rosewood and settles into tonka bean.</t>
  </si>
  <si>
    <t xml:space="preserve">Tobacco Vanille</t>
  </si>
  <si>
    <t xml:space="preserve">200100003288</t>
  </si>
  <si>
    <t xml:space="preserve">Tobacco Leaf, Spices</t>
  </si>
  <si>
    <t xml:space="preserve">Vanilla, Cacao, Tonka</t>
  </si>
  <si>
    <t xml:space="preserve">Dried Fruits, Woody Notes</t>
  </si>
  <si>
    <t xml:space="preserve">Warm and sensual versatile scent — opens with tobacco leaf and settles into dried fruits.</t>
  </si>
  <si>
    <t xml:space="preserve">Ombré Leather</t>
  </si>
  <si>
    <t xml:space="preserve">200100003425</t>
  </si>
  <si>
    <t xml:space="preserve">Leather</t>
  </si>
  <si>
    <t xml:space="preserve">Cardamom</t>
  </si>
  <si>
    <t xml:space="preserve">Leather, Jasmine</t>
  </si>
  <si>
    <t xml:space="preserve">Amber, Moss, Patchouli</t>
  </si>
  <si>
    <t xml:space="preserve">Bold and smoky versatile scent — opens with cardamom and settles into amber.</t>
  </si>
  <si>
    <t xml:space="preserve">Noir Extreme</t>
  </si>
  <si>
    <t xml:space="preserve">200100003562</t>
  </si>
  <si>
    <t xml:space="preserve">Mandarin, Cardamom, Saffron</t>
  </si>
  <si>
    <t xml:space="preserve">Orange Blossom, Kulfi, Rose</t>
  </si>
  <si>
    <t xml:space="preserve">Amber, Sandalwood, Vanilla</t>
  </si>
  <si>
    <t xml:space="preserve">Warm and sensual everyday scent — opens with mandarin and settles into amber.</t>
  </si>
  <si>
    <t xml:space="preserve">Bvlgari</t>
  </si>
  <si>
    <t xml:space="preserve">Man in Black</t>
  </si>
  <si>
    <t xml:space="preserve">200100003699</t>
  </si>
  <si>
    <t xml:space="preserve">Spices, Rum</t>
  </si>
  <si>
    <t xml:space="preserve">Tuberose, Iris, Leather</t>
  </si>
  <si>
    <t xml:space="preserve">Tonka, Benzoin, Guaiac Wood</t>
  </si>
  <si>
    <t xml:space="preserve">Warm and sensual everyday scent — opens with spices and settles into tonka.</t>
  </si>
  <si>
    <t xml:space="preserve">Coco Mademoiselle</t>
  </si>
  <si>
    <t xml:space="preserve">200100003836</t>
  </si>
  <si>
    <t xml:space="preserve">Orange, Bergamot, Mandarin</t>
  </si>
  <si>
    <t xml:space="preserve">Rose, Jasmine, Litchi</t>
  </si>
  <si>
    <t xml:space="preserve">Patchouli, Vetiver, Vanilla, White Musk</t>
  </si>
  <si>
    <t xml:space="preserve">Feminine</t>
  </si>
  <si>
    <t xml:space="preserve">Rich and sophisticated signature scent — opens with orange and settles into patchouli.</t>
  </si>
  <si>
    <t xml:space="preserve">No. 5</t>
  </si>
  <si>
    <t xml:space="preserve">200100003973</t>
  </si>
  <si>
    <t xml:space="preserve">Floral</t>
  </si>
  <si>
    <t xml:space="preserve">Aldehydes, Neroli, Ylang-Ylang</t>
  </si>
  <si>
    <t xml:space="preserve">Rose, Jasmine, Iris</t>
  </si>
  <si>
    <t xml:space="preserve">Sandalwood, Vanilla, Vetiver, Amber</t>
  </si>
  <si>
    <t xml:space="preserve">Soft and floral signature scent — opens with aldehydes and settles into sandalwood.</t>
  </si>
  <si>
    <t xml:space="preserve">Chance Eau Tendre</t>
  </si>
  <si>
    <t xml:space="preserve">200100004110</t>
  </si>
  <si>
    <t xml:space="preserve">Grapefruit, Quince</t>
  </si>
  <si>
    <t xml:space="preserve">Jasmine, Hyacinth</t>
  </si>
  <si>
    <t xml:space="preserve">Amber, White Musk, Iris</t>
  </si>
  <si>
    <t xml:space="preserve">Soft and floral signature scent — opens with grapefruit and settles into amber.</t>
  </si>
  <si>
    <t xml:space="preserve">J'adore</t>
  </si>
  <si>
    <t xml:space="preserve">200100004247</t>
  </si>
  <si>
    <t xml:space="preserve">Pear, Melon, Magnolia</t>
  </si>
  <si>
    <t xml:space="preserve">Rose, Jasmine, Orchid</t>
  </si>
  <si>
    <t xml:space="preserve">Musk, Vanilla, Blackberry</t>
  </si>
  <si>
    <t xml:space="preserve">Soft and floral signature scent — opens with pear and settles into musk.</t>
  </si>
  <si>
    <t xml:space="preserve">Miss Dior</t>
  </si>
  <si>
    <t xml:space="preserve">200100004384</t>
  </si>
  <si>
    <t xml:space="preserve">Blood Orange, Mandarin</t>
  </si>
  <si>
    <t xml:space="preserve">Grasse Rose, Peony</t>
  </si>
  <si>
    <t xml:space="preserve">Rosewood, Patchouli, White Musk</t>
  </si>
  <si>
    <t xml:space="preserve">Soft and floral signature scent — opens with blood orange and settles into rosewood.</t>
  </si>
  <si>
    <t xml:space="preserve">Lancôme</t>
  </si>
  <si>
    <t xml:space="preserve">La Vie Est Belle</t>
  </si>
  <si>
    <t xml:space="preserve">200100004521</t>
  </si>
  <si>
    <t xml:space="preserve">Gourmand</t>
  </si>
  <si>
    <t xml:space="preserve">Blackcurrant, Pear</t>
  </si>
  <si>
    <t xml:space="preserve">Iris, Jasmine, Orange Blossom</t>
  </si>
  <si>
    <t xml:space="preserve">Praline, Vanilla, Patchouli, Tonka</t>
  </si>
  <si>
    <t xml:space="preserve">Sweet and cozy signature scent — opens with blackcurrant and settles into praline.</t>
  </si>
  <si>
    <t xml:space="preserve">Black Opium</t>
  </si>
  <si>
    <t xml:space="preserve">90ml</t>
  </si>
  <si>
    <t xml:space="preserve">200100004658</t>
  </si>
  <si>
    <t xml:space="preserve">Pink Pepper, Orange Blossom, Pear</t>
  </si>
  <si>
    <t xml:space="preserve">Coffee, Jasmine, Bitter Almond</t>
  </si>
  <si>
    <t xml:space="preserve">Vanilla, Patchouli, Cedar</t>
  </si>
  <si>
    <t xml:space="preserve">Sweet and cozy signature scent — opens with pink pepper and settles into vanilla.</t>
  </si>
  <si>
    <t xml:space="preserve">Libre</t>
  </si>
  <si>
    <t xml:space="preserve">200100004795</t>
  </si>
  <si>
    <t xml:space="preserve">Mandarin, Lavender, Blackcurrant</t>
  </si>
  <si>
    <t xml:space="preserve">Lavender, Orange Blossom, Jasmine</t>
  </si>
  <si>
    <t xml:space="preserve">Vanilla, Musk, Cedar, Amber</t>
  </si>
  <si>
    <t xml:space="preserve">Soft and floral signature scent — opens with mandarin and settles into vanilla.</t>
  </si>
  <si>
    <t xml:space="preserve">Viktor&amp;Rolf</t>
  </si>
  <si>
    <t xml:space="preserve">Flowerbomb</t>
  </si>
  <si>
    <t xml:space="preserve">200100004932</t>
  </si>
  <si>
    <t xml:space="preserve">Tea, Bergamot, Osmanthus</t>
  </si>
  <si>
    <t xml:space="preserve">Jasmine, Orchid, Rose, Freesia</t>
  </si>
  <si>
    <t xml:space="preserve">Patchouli, Musk, Vanilla</t>
  </si>
  <si>
    <t xml:space="preserve">Soft and floral signature scent — opens with tea and settles into patchouli.</t>
  </si>
  <si>
    <t xml:space="preserve">Good Girl</t>
  </si>
  <si>
    <t xml:space="preserve">80ml</t>
  </si>
  <si>
    <t xml:space="preserve">200100005069</t>
  </si>
  <si>
    <t xml:space="preserve">Almond, Coffee, Bergamot</t>
  </si>
  <si>
    <t xml:space="preserve">Tuberose, Jasmine, Orange Blossom</t>
  </si>
  <si>
    <t xml:space="preserve">Tonka, Cacao, Vanilla, Praline</t>
  </si>
  <si>
    <t xml:space="preserve">Warm and sensual signature scent — opens with almond and settles into tonka.</t>
  </si>
  <si>
    <t xml:space="preserve">Marc Jacobs</t>
  </si>
  <si>
    <t xml:space="preserve">Daisy</t>
  </si>
  <si>
    <t xml:space="preserve">200100005206</t>
  </si>
  <si>
    <t xml:space="preserve">Strawberry, Violet Leaf, Grapefruit</t>
  </si>
  <si>
    <t xml:space="preserve">Jasmine, Gardenia, Violet</t>
  </si>
  <si>
    <t xml:space="preserve">Musk, Vanilla, White Woods</t>
  </si>
  <si>
    <t xml:space="preserve">Soft and floral signature scent — opens with strawberry and settles into musk.</t>
  </si>
  <si>
    <t xml:space="preserve">Lady Million</t>
  </si>
  <si>
    <t xml:space="preserve">200100005343</t>
  </si>
  <si>
    <t xml:space="preserve">Bitter Orange, Raspberry, Neroli</t>
  </si>
  <si>
    <t xml:space="preserve">Orange Blossom, Jasmine, Gardenia</t>
  </si>
  <si>
    <t xml:space="preserve">Honey, Patchouli, Amber</t>
  </si>
  <si>
    <t xml:space="preserve">Soft and floral signature scent — opens with bitter orange and settles into honey.</t>
  </si>
  <si>
    <t xml:space="preserve">Sì</t>
  </si>
  <si>
    <t xml:space="preserve">200100005480</t>
  </si>
  <si>
    <t xml:space="preserve">Blackcurrant, Mandarin</t>
  </si>
  <si>
    <t xml:space="preserve">Rose, Freesia</t>
  </si>
  <si>
    <t xml:space="preserve">Patchouli, Vanilla, Ambroxan</t>
  </si>
  <si>
    <t xml:space="preserve">Rich and sophisticated signature scent — opens with blackcurrant and settles into patchouli.</t>
  </si>
  <si>
    <t xml:space="preserve">Bright Crystal</t>
  </si>
  <si>
    <t xml:space="preserve">200100005617</t>
  </si>
  <si>
    <t xml:space="preserve">Pomegranate, Yuzu, Ice</t>
  </si>
  <si>
    <t xml:space="preserve">Peony, Magnolia, Lotus</t>
  </si>
  <si>
    <t xml:space="preserve">Musk, Amber, Mahogany</t>
  </si>
  <si>
    <t xml:space="preserve">Soft and floral signature scent — opens with pomegranate and settles into musk.</t>
  </si>
  <si>
    <t xml:space="preserve">Light Blue</t>
  </si>
  <si>
    <t xml:space="preserve">200100005754</t>
  </si>
  <si>
    <t xml:space="preserve">Sicilian Lemon, Apple, Bellflower</t>
  </si>
  <si>
    <t xml:space="preserve">Bamboo, Jasmine, White Rose</t>
  </si>
  <si>
    <t xml:space="preserve">Cedar, Amber, Musk</t>
  </si>
  <si>
    <t xml:space="preserve">Bright and zesty signature scent — opens with sicilian lemon and settles into cedar.</t>
  </si>
  <si>
    <t xml:space="preserve">Mugler</t>
  </si>
  <si>
    <t xml:space="preserve">Alien</t>
  </si>
  <si>
    <t xml:space="preserve">200100005891</t>
  </si>
  <si>
    <t xml:space="preserve">Jasmine</t>
  </si>
  <si>
    <t xml:space="preserve">Cashmeran, Amber</t>
  </si>
  <si>
    <t xml:space="preserve">White Amber, Woody Notes</t>
  </si>
  <si>
    <t xml:space="preserve">Warm and sensual signature scent — opens with jasmine and settles into white amber.</t>
  </si>
  <si>
    <t xml:space="preserve">Angel</t>
  </si>
  <si>
    <t xml:space="preserve">200100006028</t>
  </si>
  <si>
    <t xml:space="preserve">Bergamot, Melon, Coconut</t>
  </si>
  <si>
    <t xml:space="preserve">Honey, Red Berries, Peach</t>
  </si>
  <si>
    <t xml:space="preserve">Vanilla, Patchouli, Chocolate, Caramel</t>
  </si>
  <si>
    <t xml:space="preserve">Sweet and cozy signature scent — opens with bergamot and settles into vanilla.</t>
  </si>
  <si>
    <t xml:space="preserve">Idôle</t>
  </si>
  <si>
    <t xml:space="preserve">200100006165</t>
  </si>
  <si>
    <t xml:space="preserve">Bergamot, Pear, Pink Pepper</t>
  </si>
  <si>
    <t xml:space="preserve">Rose, Jasmine</t>
  </si>
  <si>
    <t xml:space="preserve">White Musk, Vanilla, Patchouli</t>
  </si>
  <si>
    <t xml:space="preserve">Soft and floral signature scent — opens with bergamot and settles into white musk.</t>
  </si>
  <si>
    <t xml:space="preserve">Paradoxe</t>
  </si>
  <si>
    <t xml:space="preserve">200100006302</t>
  </si>
  <si>
    <t xml:space="preserve">Neroli, Bergamot</t>
  </si>
  <si>
    <t xml:space="preserve">Jasmine, Amber</t>
  </si>
  <si>
    <t xml:space="preserve">Musk, Vanilla</t>
  </si>
  <si>
    <t xml:space="preserve">Soft and floral signature scent — opens with neroli and settles into musk.</t>
  </si>
  <si>
    <t xml:space="preserve">Burberry</t>
  </si>
  <si>
    <t xml:space="preserve">Her</t>
  </si>
  <si>
    <t xml:space="preserve">200100006439</t>
  </si>
  <si>
    <t xml:space="preserve">Blackcurrant, Raspberry, Blackberry</t>
  </si>
  <si>
    <t xml:space="preserve">Jasmine, Violet</t>
  </si>
  <si>
    <t xml:space="preserve">Musk, Amber, Vanilla</t>
  </si>
  <si>
    <t xml:space="preserve">Sweet and cozy signature scent — opens with blackcurrant and settles into musk.</t>
  </si>
  <si>
    <t xml:space="preserve">Gucci</t>
  </si>
  <si>
    <t xml:space="preserve">Bloom</t>
  </si>
  <si>
    <t xml:space="preserve">200100006576</t>
  </si>
  <si>
    <t xml:space="preserve">Jasmine, Tuberose</t>
  </si>
  <si>
    <t xml:space="preserve">Rangoon Creeper, Orange Blossom</t>
  </si>
  <si>
    <t xml:space="preserve">Sandalwood, Musk</t>
  </si>
  <si>
    <t xml:space="preserve">Soft and floral signature scent — opens with jasmine and settles into sandalwood.</t>
  </si>
  <si>
    <t xml:space="preserve">Flora Gorgeous Gardenia</t>
  </si>
  <si>
    <t xml:space="preserve">200100006713</t>
  </si>
  <si>
    <t xml:space="preserve">Pear, Red Berries</t>
  </si>
  <si>
    <t xml:space="preserve">Gardenia, Frangipani</t>
  </si>
  <si>
    <t xml:space="preserve">Brown Sugar, Patchouli</t>
  </si>
  <si>
    <t xml:space="preserve">Soft and floral signature scent — opens with pear and settles into brown sugar.</t>
  </si>
  <si>
    <t xml:space="preserve">Scandal</t>
  </si>
  <si>
    <t xml:space="preserve">200100006850</t>
  </si>
  <si>
    <t xml:space="preserve">Honey, Gardenia, Jasmine</t>
  </si>
  <si>
    <t xml:space="preserve">Patchouli, Beeswax, Caramel</t>
  </si>
  <si>
    <t xml:space="preserve">Sweet and cozy signature scent — opens with blood orange and settles into patchouli.</t>
  </si>
  <si>
    <t xml:space="preserve">Narciso Rodriguez</t>
  </si>
  <si>
    <t xml:space="preserve">For Her</t>
  </si>
  <si>
    <t xml:space="preserve">200100006987</t>
  </si>
  <si>
    <t xml:space="preserve">Osmanthus, African Orange Flower</t>
  </si>
  <si>
    <t xml:space="preserve">Musk, Amber</t>
  </si>
  <si>
    <t xml:space="preserve">Vanilla, Patchouli, Vetiver</t>
  </si>
  <si>
    <t xml:space="preserve">Rich and sophisticated signature scent — opens with osmanthus and settles into vanilla.</t>
  </si>
  <si>
    <t xml:space="preserve">Chloé</t>
  </si>
  <si>
    <t xml:space="preserve">200100007124</t>
  </si>
  <si>
    <t xml:space="preserve">Peony, Freesia, Litchi</t>
  </si>
  <si>
    <t xml:space="preserve">Rose, Magnolia, Lily of the Valley</t>
  </si>
  <si>
    <t xml:space="preserve">Cedar, Amber, Honey</t>
  </si>
  <si>
    <t xml:space="preserve">Soft and floral signature scent — opens with peony and settles into cedar.</t>
  </si>
  <si>
    <t xml:space="preserve">Ariana Grande</t>
  </si>
  <si>
    <t xml:space="preserve">Cloud</t>
  </si>
  <si>
    <t xml:space="preserve">200100007261</t>
  </si>
  <si>
    <t xml:space="preserve">Lavender, Pear, Bergamot</t>
  </si>
  <si>
    <t xml:space="preserve">Whipped Cream, Praline, Coconut</t>
  </si>
  <si>
    <t xml:space="preserve">Musk, Woods</t>
  </si>
  <si>
    <t xml:space="preserve">Sweet and cozy signature scent — opens with lavender and settles into musk.</t>
  </si>
  <si>
    <t xml:space="preserve">Kayali</t>
  </si>
  <si>
    <t xml:space="preserve">Vanilla 28</t>
  </si>
  <si>
    <t xml:space="preserve">200100007398</t>
  </si>
  <si>
    <t xml:space="preserve">Brown Sugar</t>
  </si>
  <si>
    <t xml:space="preserve">Vanilla, Jasmine</t>
  </si>
  <si>
    <t xml:space="preserve">Musk, Tonka, Amber</t>
  </si>
  <si>
    <t xml:space="preserve">Sweet and cozy signature scent — opens with brown sugar and settles into musk.</t>
  </si>
  <si>
    <t xml:space="preserve">Maison Francis Kurkdjian</t>
  </si>
  <si>
    <t xml:space="preserve">Baccarat Rouge 540</t>
  </si>
  <si>
    <t xml:space="preserve">70ml</t>
  </si>
  <si>
    <t xml:space="preserve">200100007535</t>
  </si>
  <si>
    <t xml:space="preserve">Saffron, Jasmine</t>
  </si>
  <si>
    <t xml:space="preserve">Amberwood, Ambergris</t>
  </si>
  <si>
    <t xml:space="preserve">Fir Resin, Cedar</t>
  </si>
  <si>
    <t xml:space="preserve">Warm and sensual versatile scent — opens with saffron and settles into fir resin.</t>
  </si>
  <si>
    <t xml:space="preserve">Le Labo</t>
  </si>
  <si>
    <t xml:space="preserve">Santal 33</t>
  </si>
  <si>
    <t xml:space="preserve">200100007672</t>
  </si>
  <si>
    <t xml:space="preserve">Cardamom, Iris, Violet</t>
  </si>
  <si>
    <t xml:space="preserve">Ambrox, Sandalwood</t>
  </si>
  <si>
    <t xml:space="preserve">Leather, Cedar, Papyrus</t>
  </si>
  <si>
    <t xml:space="preserve">Warm and woody versatile scent — opens with cardamom and settles into leather.</t>
  </si>
  <si>
    <t xml:space="preserve">Byredo</t>
  </si>
  <si>
    <t xml:space="preserve">Gypsy Water</t>
  </si>
  <si>
    <t xml:space="preserve">200100007809</t>
  </si>
  <si>
    <t xml:space="preserve">Bergamot, Lemon, Pepper, Juniper</t>
  </si>
  <si>
    <t xml:space="preserve">Incense, Pine Needles, Orris</t>
  </si>
  <si>
    <t xml:space="preserve">Amber, Vanilla, Sandalwood</t>
  </si>
  <si>
    <t xml:space="preserve">Warm and woody versatile scent — opens with bergamot and settles into amber.</t>
  </si>
  <si>
    <t xml:space="preserve">Jo Malone</t>
  </si>
  <si>
    <t xml:space="preserve">Wood Sage &amp; Sea Salt</t>
  </si>
  <si>
    <t xml:space="preserve">Cologne</t>
  </si>
  <si>
    <t xml:space="preserve">200100007946</t>
  </si>
  <si>
    <t xml:space="preserve">Ambrette Seeds</t>
  </si>
  <si>
    <t xml:space="preserve">Sea Salt</t>
  </si>
  <si>
    <t xml:space="preserve">Sage, Driftwood</t>
  </si>
  <si>
    <t xml:space="preserve">Clean and breezy versatile scent — opens with ambrette seeds and settles into sage.</t>
  </si>
  <si>
    <t xml:space="preserve">English Pear &amp; Freesia</t>
  </si>
  <si>
    <t xml:space="preserve">200100008083</t>
  </si>
  <si>
    <t xml:space="preserve">Pear, Melon</t>
  </si>
  <si>
    <t xml:space="preserve">Freesia, Rose</t>
  </si>
  <si>
    <t xml:space="preserve">Patchouli, Musk, Amber</t>
  </si>
  <si>
    <t xml:space="preserve">Soft and floral versatile scent — opens with pear and settles into patchouli.</t>
  </si>
  <si>
    <t xml:space="preserve">Maison Margiela</t>
  </si>
  <si>
    <t xml:space="preserve">Replica Jazz Club</t>
  </si>
  <si>
    <t xml:space="preserve">200100008220</t>
  </si>
  <si>
    <t xml:space="preserve">Pink Pepper, Neroli, Lemon</t>
  </si>
  <si>
    <t xml:space="preserve">Rum, Clary Sage, Vetiver</t>
  </si>
  <si>
    <t xml:space="preserve">Tobacco, Vanilla, Styrax</t>
  </si>
  <si>
    <t xml:space="preserve">Warm and sensual versatile scent — opens with pink pepper and settles into tobacco.</t>
  </si>
  <si>
    <t xml:space="preserve">Replica By the Fireplace</t>
  </si>
  <si>
    <t xml:space="preserve">200100008357</t>
  </si>
  <si>
    <t xml:space="preserve">Clove, Pink Pepper, Orange</t>
  </si>
  <si>
    <t xml:space="preserve">Chestnut, Guaiac Wood</t>
  </si>
  <si>
    <t xml:space="preserve">Vanilla, Cashmeran, Peru Balsam</t>
  </si>
  <si>
    <t xml:space="preserve">Sweet and cozy versatile scent — opens with clove and settles into vanilla.</t>
  </si>
  <si>
    <t xml:space="preserve">Green Irish Tweed</t>
  </si>
  <si>
    <t xml:space="preserve">200100008494</t>
  </si>
  <si>
    <t xml:space="preserve">Lemon, Verbena</t>
  </si>
  <si>
    <t xml:space="preserve">Violet Leaf, Iris</t>
  </si>
  <si>
    <t xml:space="preserve">Sandalwood, Ambergris</t>
  </si>
  <si>
    <t xml:space="preserve">Classic and fresh everyday scent — opens with lemon and settles into sandalwood.</t>
  </si>
  <si>
    <t xml:space="preserve">Silver Mountain Water</t>
  </si>
  <si>
    <t xml:space="preserve">200100008631</t>
  </si>
  <si>
    <t xml:space="preserve">Bergamot, Mandarin</t>
  </si>
  <si>
    <t xml:space="preserve">Green Tea, Blackcurrant</t>
  </si>
  <si>
    <t xml:space="preserve">Musk, Sandalwood, Galbanum</t>
  </si>
  <si>
    <t xml:space="preserve">Clean and breezy versatile scent — opens with bergamot and settles into musk.</t>
  </si>
  <si>
    <t xml:space="preserve">Parfums de Marly</t>
  </si>
  <si>
    <t xml:space="preserve">Layton</t>
  </si>
  <si>
    <t xml:space="preserve">125ml</t>
  </si>
  <si>
    <t xml:space="preserve">200100008768</t>
  </si>
  <si>
    <t xml:space="preserve">Apple, Bergamot, Lavender</t>
  </si>
  <si>
    <t xml:space="preserve">Geranium, Violet, Jasmine</t>
  </si>
  <si>
    <t xml:space="preserve">Vanilla, Sandalwood, Guaiac Wood, Pepper</t>
  </si>
  <si>
    <t xml:space="preserve">Warm and sensual everyday scent — opens with apple and settles into vanilla.</t>
  </si>
  <si>
    <t xml:space="preserve">Delina</t>
  </si>
  <si>
    <t xml:space="preserve">200100008905</t>
  </si>
  <si>
    <t xml:space="preserve">Litchi, Rhubarb, Bergamot</t>
  </si>
  <si>
    <t xml:space="preserve">Turkish Rose, Peony, Lily of the Valley</t>
  </si>
  <si>
    <t xml:space="preserve">Vanilla, Musk, Cashmeran</t>
  </si>
  <si>
    <t xml:space="preserve">Soft and floral signature scent — opens with litchi and settles into vanilla.</t>
  </si>
  <si>
    <t xml:space="preserve">Initio</t>
  </si>
  <si>
    <t xml:space="preserve">Oud for Greatness</t>
  </si>
  <si>
    <t xml:space="preserve">200100009042</t>
  </si>
  <si>
    <t xml:space="preserve">Saffron, Nutmeg</t>
  </si>
  <si>
    <t xml:space="preserve">Oud, Patchouli</t>
  </si>
  <si>
    <t xml:space="preserve">Musk, Sandalwood</t>
  </si>
  <si>
    <t xml:space="preserve">Warm and woody versatile scent — opens with saffron and settles into musk.</t>
  </si>
  <si>
    <t xml:space="preserve">Xerjoff</t>
  </si>
  <si>
    <t xml:space="preserve">Naxos</t>
  </si>
  <si>
    <t xml:space="preserve">200100009179</t>
  </si>
  <si>
    <t xml:space="preserve">Bergamot, Lavender, Lemon</t>
  </si>
  <si>
    <t xml:space="preserve">Honey, Cinnamon, Tobacco</t>
  </si>
  <si>
    <t xml:space="preserve">Tonka, Vanilla, Cashmeran</t>
  </si>
  <si>
    <t xml:space="preserve">Eros Flame</t>
  </si>
  <si>
    <t xml:space="preserve">200100009316</t>
  </si>
  <si>
    <t xml:space="preserve">Black Pepper, Lemon, Mandarin</t>
  </si>
  <si>
    <t xml:space="preserve">Rose, Geranium, Pepperwood</t>
  </si>
  <si>
    <t xml:space="preserve">Tonka, Vanilla, Sandalwood, Cedar</t>
  </si>
  <si>
    <t xml:space="preserve">Warm and sensual everyday scent — opens with black pepper and settles into tonka.</t>
  </si>
  <si>
    <t xml:space="preserve">Valentino</t>
  </si>
  <si>
    <t xml:space="preserve">Uomo Born in Roma</t>
  </si>
  <si>
    <t xml:space="preserve">200100009453</t>
  </si>
  <si>
    <t xml:space="preserve">Ginger, Bergamot</t>
  </si>
  <si>
    <t xml:space="preserve">Sage, Violet Leaf</t>
  </si>
  <si>
    <t xml:space="preserve">Vetiver, Woods, Tonka</t>
  </si>
  <si>
    <t xml:space="preserve">Crisp and herbal everyday scent — opens with ginger and settles into vetiver.</t>
  </si>
  <si>
    <t xml:space="preserve">Donna Born in Roma</t>
  </si>
  <si>
    <t xml:space="preserve">200100009590</t>
  </si>
  <si>
    <t xml:space="preserve">Blackcurrant, Jasmine</t>
  </si>
  <si>
    <t xml:space="preserve">Jasmine, Bourbon Vanilla</t>
  </si>
  <si>
    <t xml:space="preserve">Woods, Musk</t>
  </si>
  <si>
    <t xml:space="preserve">Soft and floral signature scent — opens with blackcurrant and settles into woods.</t>
  </si>
  <si>
    <t xml:space="preserve">Givenchy</t>
  </si>
  <si>
    <t xml:space="preserve">Gentleman</t>
  </si>
  <si>
    <t xml:space="preserve">200100009727</t>
  </si>
  <si>
    <t xml:space="preserve">Pear, Cardamom, Iris</t>
  </si>
  <si>
    <t xml:space="preserve">Iris, Lavender</t>
  </si>
  <si>
    <t xml:space="preserve">Patchouli, Leather, Black Vanilla</t>
  </si>
  <si>
    <t xml:space="preserve">Warm and sensual everyday scent — opens with pear and settles into patchouli.</t>
  </si>
  <si>
    <t xml:space="preserve">Hugo Boss</t>
  </si>
  <si>
    <t xml:space="preserve">Boss Bottled</t>
  </si>
  <si>
    <t xml:space="preserve">200100009864</t>
  </si>
  <si>
    <t xml:space="preserve">Apple, Bergamot, Lemon</t>
  </si>
  <si>
    <t xml:space="preserve">Cinnamon, Clove, Geranium</t>
  </si>
  <si>
    <t xml:space="preserve">Sandalwood, Vetiver, Vanilla</t>
  </si>
  <si>
    <t xml:space="preserve">Warm and woody everyday scent — opens with apple and settles into sandalwood.</t>
  </si>
  <si>
    <t xml:space="preserve">Boss Bottled Parfum</t>
  </si>
  <si>
    <t xml:space="preserve">Parfum</t>
  </si>
  <si>
    <t xml:space="preserve">200100010001</t>
  </si>
  <si>
    <t xml:space="preserve">Fresh Notes</t>
  </si>
  <si>
    <t xml:space="preserve">Elemi, Ginger</t>
  </si>
  <si>
    <t xml:space="preserve">Cedar, Vanilla</t>
  </si>
  <si>
    <t xml:space="preserve">Warm and woody everyday scent — opens with fresh notes and settles into cedar.</t>
  </si>
  <si>
    <t xml:space="preserve">Calvin Klein</t>
  </si>
  <si>
    <t xml:space="preserve">CK One</t>
  </si>
  <si>
    <t xml:space="preserve">200100010138</t>
  </si>
  <si>
    <t xml:space="preserve">Lemon, Bergamot, Pineapple, Mandarin</t>
  </si>
  <si>
    <t xml:space="preserve">Nutmeg, Violet, Rose</t>
  </si>
  <si>
    <t xml:space="preserve">Musk, Amber, Sandalwood</t>
  </si>
  <si>
    <t xml:space="preserve">Bright and zesty versatile scent — opens with lemon and settles into musk.</t>
  </si>
  <si>
    <t xml:space="preserve">Eternity for Men</t>
  </si>
  <si>
    <t xml:space="preserve">200100010275</t>
  </si>
  <si>
    <t xml:space="preserve">Lavender, Mandarin, Bergamot</t>
  </si>
  <si>
    <t xml:space="preserve">Sage, Coriander, Basil</t>
  </si>
  <si>
    <t xml:space="preserve">Sandalwood, Musk, Amber</t>
  </si>
  <si>
    <t xml:space="preserve">Classic and fresh everyday scent — opens with lavender and settles into sandalwood.</t>
  </si>
  <si>
    <t xml:space="preserve">Ralph Lauren</t>
  </si>
  <si>
    <t xml:space="preserve">Polo Blue</t>
  </si>
  <si>
    <t xml:space="preserve">200100010412</t>
  </si>
  <si>
    <t xml:space="preserve">Melon, Cucumber, Mandarin</t>
  </si>
  <si>
    <t xml:space="preserve">Sage, Geranium, Basil</t>
  </si>
  <si>
    <t xml:space="preserve">Musk, Suede, Woods</t>
  </si>
  <si>
    <t xml:space="preserve">Clean and breezy everyday scent — opens with melon and settles into musk.</t>
  </si>
  <si>
    <t xml:space="preserve">Polo Red</t>
  </si>
  <si>
    <t xml:space="preserve">200100010549</t>
  </si>
  <si>
    <t xml:space="preserve">Cranberry, Italian Lemon, Grapefruit</t>
  </si>
  <si>
    <t xml:space="preserve">Saffron, Sage, Coffee</t>
  </si>
  <si>
    <t xml:space="preserve">Amber, Cedar, Redwood</t>
  </si>
  <si>
    <t xml:space="preserve">Warm and woody everyday scent — opens with cranberry and settles into amber.</t>
  </si>
  <si>
    <t xml:space="preserve">L'Homme</t>
  </si>
  <si>
    <t xml:space="preserve">200100010686</t>
  </si>
  <si>
    <t xml:space="preserve">Neroli, Black Pepper, Cardamom</t>
  </si>
  <si>
    <t xml:space="preserve">Iris, Geranium, Violet</t>
  </si>
  <si>
    <t xml:space="preserve">Amber, Patchouli, Cedar</t>
  </si>
  <si>
    <t xml:space="preserve">Soft and floral everyday scent — opens with neroli and settles into amber.</t>
  </si>
  <si>
    <t xml:space="preserve">Luna Rossa Ocean</t>
  </si>
  <si>
    <t xml:space="preserve">200100010823</t>
  </si>
  <si>
    <t xml:space="preserve">Bergamot, Ambrette</t>
  </si>
  <si>
    <t xml:space="preserve">Sage, Agarwood</t>
  </si>
  <si>
    <t xml:space="preserve">Musk, Ambroxan, Patchouli</t>
  </si>
  <si>
    <t xml:space="preserve">Clean and breezy everyday scent — opens with bergamot and settles into musk.</t>
  </si>
  <si>
    <t xml:space="preserve">Mr. Burberry</t>
  </si>
  <si>
    <t xml:space="preserve">200100010960</t>
  </si>
  <si>
    <t xml:space="preserve">Grapefruit, Cardamom, Tarragon</t>
  </si>
  <si>
    <t xml:space="preserve">Birch Leaf, Nutmeg, Lavender</t>
  </si>
  <si>
    <t xml:space="preserve">Vetiver, Guaiac Wood, Cedar</t>
  </si>
  <si>
    <t xml:space="preserve">Crisp and herbal everyday scent — opens with grapefruit and settles into vetiver.</t>
  </si>
  <si>
    <t xml:space="preserve">Issey Miyake</t>
  </si>
  <si>
    <t xml:space="preserve">L'Eau d'Issey Pour Homme</t>
  </si>
  <si>
    <t xml:space="preserve">200100011097</t>
  </si>
  <si>
    <t xml:space="preserve">Yuzu, Bergamot, Cypress</t>
  </si>
  <si>
    <t xml:space="preserve">Nutmeg, Lily, Cinnamon</t>
  </si>
  <si>
    <t xml:space="preserve">Amber, Tobacco, Sandalwood, Vetiver</t>
  </si>
  <si>
    <t xml:space="preserve">Clean and breezy everyday scent — opens with yuzu and settles into amber.</t>
  </si>
  <si>
    <t xml:space="preserve">Kenzo</t>
  </si>
  <si>
    <t xml:space="preserve">Flower by Kenzo</t>
  </si>
  <si>
    <t xml:space="preserve">200100011234</t>
  </si>
  <si>
    <t xml:space="preserve">Rose, Violet, Jasmine</t>
  </si>
  <si>
    <t xml:space="preserve">Vanilla, White Musk, Amber</t>
  </si>
  <si>
    <t xml:space="preserve">Soft and floral signature scent — opens with blackcurrant and settles into vanilla.</t>
  </si>
  <si>
    <t xml:space="preserve">Spicebomb</t>
  </si>
  <si>
    <t xml:space="preserve">200100011371</t>
  </si>
  <si>
    <t xml:space="preserve">Bergamot, Grapefruit, Pink Pepper</t>
  </si>
  <si>
    <t xml:space="preserve">Cinnamon, Saffron, Paprika</t>
  </si>
  <si>
    <t xml:space="preserve">Tobacco, Leather, Vetiver</t>
  </si>
  <si>
    <t xml:space="preserve">Warm and sensual everyday scent — opens with bergamot and settles into tobacco.</t>
  </si>
  <si>
    <t xml:space="preserve">Armani Code</t>
  </si>
  <si>
    <t xml:space="preserve">200100011508</t>
  </si>
  <si>
    <t xml:space="preserve">Bergamot, Lemon</t>
  </si>
  <si>
    <t xml:space="preserve">Olive Blossom, Star Anise</t>
  </si>
  <si>
    <t xml:space="preserve">Tonka Bean, Leather, Guaiac Wood</t>
  </si>
  <si>
    <t xml:space="preserve">Warm and sensual everyday scent — opens with bergamot and settles into tonka bean.</t>
  </si>
  <si>
    <t xml:space="preserve">My Way</t>
  </si>
  <si>
    <t xml:space="preserve">200100011645</t>
  </si>
  <si>
    <t xml:space="preserve">Orange Blossom, Bergamot</t>
  </si>
  <si>
    <t xml:space="preserve">Tuberose, Indian Jasmine</t>
  </si>
  <si>
    <t xml:space="preserve">Cedar, Vanilla, White Musk</t>
  </si>
  <si>
    <t xml:space="preserve">Soft and floral signature scent — opens with orange blossom and settles into cedar.</t>
  </si>
  <si>
    <t xml:space="preserve">Black Orchid</t>
  </si>
  <si>
    <t xml:space="preserve">200100011782</t>
  </si>
  <si>
    <t xml:space="preserve">Black Truffle, Ylang-Ylang, Bergamot</t>
  </si>
  <si>
    <t xml:space="preserve">Orchid, Spices, Lotus Wood</t>
  </si>
  <si>
    <t xml:space="preserve">Patchouli, Vanilla, Incense, Sandalwood</t>
  </si>
  <si>
    <t xml:space="preserve">Warm and sensual versatile scent — opens with black truffle and settles into patchouli.</t>
  </si>
  <si>
    <t xml:space="preserve">Lost Cherry</t>
  </si>
  <si>
    <t xml:space="preserve">200100011919</t>
  </si>
  <si>
    <t xml:space="preserve">Black Cherry, Cherry Liqueur, Bitter Almond</t>
  </si>
  <si>
    <t xml:space="preserve">Turkish Rose, Jasmine</t>
  </si>
  <si>
    <t xml:space="preserve">Tonka, Vanilla, Cinnamon, Peru Balsam</t>
  </si>
  <si>
    <t xml:space="preserve">Sweet and cozy versatile scent — opens with black cherry and settles into tonka.</t>
  </si>
  <si>
    <t xml:space="preserve">Pour Homme</t>
  </si>
  <si>
    <t xml:space="preserve">200100012056</t>
  </si>
  <si>
    <t xml:space="preserve">Bergamot, Neroli, Citron</t>
  </si>
  <si>
    <t xml:space="preserve">Hyacinth, Clary Sage, Geranium</t>
  </si>
  <si>
    <t xml:space="preserve">Musk, Cedar, Tonka, Amber</t>
  </si>
  <si>
    <t xml:space="preserve">Nishane</t>
  </si>
  <si>
    <t xml:space="preserve">Hacivat</t>
  </si>
  <si>
    <t xml:space="preserve">200100012193</t>
  </si>
  <si>
    <t xml:space="preserve">Pineapple, Bergamot, Grapefruit</t>
  </si>
  <si>
    <t xml:space="preserve">Patchouli, Cedar</t>
  </si>
  <si>
    <t xml:space="preserve">Oakmoss, Musk, Labdanum</t>
  </si>
  <si>
    <t xml:space="preserve">Rich and sophisticated versatile scent — opens with pineapple and settles into oakmoss.</t>
  </si>
  <si>
    <t xml:space="preserve">Amouage</t>
  </si>
  <si>
    <t xml:space="preserve">Interlude Man</t>
  </si>
  <si>
    <t xml:space="preserve">200100012330</t>
  </si>
  <si>
    <t xml:space="preserve">Bergamot, Oregano, Pepper</t>
  </si>
  <si>
    <t xml:space="preserve">Amber, Cistus, Frankincense</t>
  </si>
  <si>
    <t xml:space="preserve">Leather, Sandalwood, Musk</t>
  </si>
  <si>
    <t xml:space="preserve">Warm and sensual everyday scent — opens with bergamot and settles into leather.</t>
  </si>
  <si>
    <t xml:space="preserve">Peony &amp; Blush Suede</t>
  </si>
  <si>
    <t xml:space="preserve">200100012467</t>
  </si>
  <si>
    <t xml:space="preserve">Red Apple</t>
  </si>
  <si>
    <t xml:space="preserve">Peony, Jasmine, Rose</t>
  </si>
  <si>
    <t xml:space="preserve">Suede</t>
  </si>
  <si>
    <t xml:space="preserve">Soft and floral signature scent — opens with red apple and settles into suede.</t>
  </si>
  <si>
    <t xml:space="preserve">Diptyque</t>
  </si>
  <si>
    <t xml:space="preserve">Philosykos</t>
  </si>
  <si>
    <t xml:space="preserve">200100012604</t>
  </si>
  <si>
    <t xml:space="preserve">Green</t>
  </si>
  <si>
    <t xml:space="preserve">Fig Leaf</t>
  </si>
  <si>
    <t xml:space="preserve">Fig, Coconut</t>
  </si>
  <si>
    <t xml:space="preserve">Fig Tree Wood, Cedar</t>
  </si>
  <si>
    <t xml:space="preserve">Earthy and green versatile scent — opens with fig leaf and settles into fig tree wood.</t>
  </si>
  <si>
    <t xml:space="preserve">Grand Soir</t>
  </si>
  <si>
    <t xml:space="preserve">200100012741</t>
  </si>
  <si>
    <t xml:space="preserve">Amber</t>
  </si>
  <si>
    <t xml:space="preserve">Benzoin, Labdanum</t>
  </si>
  <si>
    <t xml:space="preserve">Vanilla, Tonka, Cedar</t>
  </si>
  <si>
    <t xml:space="preserve">Warm and sensual versatile scent — opens with amber and settles into vanilla.</t>
  </si>
  <si>
    <t xml:space="preserve">212 VIP Rosé</t>
  </si>
  <si>
    <t xml:space="preserve">200100012878</t>
  </si>
  <si>
    <t xml:space="preserve">Peach, Champagne Rosé</t>
  </si>
  <si>
    <t xml:space="preserve">Rose</t>
  </si>
  <si>
    <t xml:space="preserve">Musk</t>
  </si>
  <si>
    <t xml:space="preserve">Soft and floral signature scent — opens with peach and settles into musk.</t>
  </si>
  <si>
    <t xml:space="preserve">Homme</t>
  </si>
  <si>
    <t xml:space="preserve">200100013015</t>
  </si>
  <si>
    <t xml:space="preserve">Bergamot, Pink Pepper</t>
  </si>
  <si>
    <t xml:space="preserve">Iris, Cashmere Wood</t>
  </si>
  <si>
    <t xml:space="preserve">Vetiver, Haitian Vetiver</t>
  </si>
  <si>
    <t xml:space="preserve">Warm and woody everyday scent — opens with bergamot and settles into vetiver.</t>
  </si>
  <si>
    <t xml:space="preserve">Guerlain</t>
  </si>
  <si>
    <t xml:space="preserve">Mon Guerlain</t>
  </si>
  <si>
    <t xml:space="preserve">200100013152</t>
  </si>
  <si>
    <t xml:space="preserve">Bergamot, Lavender</t>
  </si>
  <si>
    <t xml:space="preserve">Jasmine, Iris</t>
  </si>
  <si>
    <t xml:space="preserve">Warm and sensual signature scent — opens with bergamot and settles into vanilla.</t>
  </si>
  <si>
    <t xml:space="preserve">Kilian</t>
  </si>
  <si>
    <t xml:space="preserve">Angels' Share</t>
  </si>
  <si>
    <t xml:space="preserve">200100013289</t>
  </si>
  <si>
    <t xml:space="preserve">Cognac</t>
  </si>
  <si>
    <t xml:space="preserve">Cinnamon, Tonka</t>
  </si>
  <si>
    <t xml:space="preserve">Vanilla, Praline, Oak</t>
  </si>
  <si>
    <t xml:space="preserve">Sweet and cozy versatile scent — opens with cognac and settles into vanilla.</t>
  </si>
  <si>
    <t xml:space="preserve">Sauvage Elixir</t>
  </si>
  <si>
    <t xml:space="preserve">60ml</t>
  </si>
  <si>
    <t xml:space="preserve">200100013426</t>
  </si>
  <si>
    <t xml:space="preserve">Cinnamon, Nutmeg, Cardamom, Grapefruit</t>
  </si>
  <si>
    <t xml:space="preserve">Lavender, Licorice</t>
  </si>
  <si>
    <t xml:space="preserve">Amber, Sandalwood, Haitian Vetiver</t>
  </si>
  <si>
    <t xml:space="preserve">Warm and sensual everyday scent — opens with cinnamon and settles into amber.</t>
  </si>
  <si>
    <t xml:space="preserve">MYSLF</t>
  </si>
  <si>
    <t xml:space="preserve">200100013563</t>
  </si>
  <si>
    <t xml:space="preserve">Bergamot, Orange Blossom</t>
  </si>
  <si>
    <t xml:space="preserve">Orange Blossom</t>
  </si>
  <si>
    <t xml:space="preserve">Patchouli, Ambrette, Woody Notes</t>
  </si>
  <si>
    <t xml:space="preserve">Soft and floral everyday scent — opens with bergamot and settles into patchouli.</t>
  </si>
  <si>
    <t xml:space="preserve">Perfume Inventory — 100 sample bestsellers (placeholder data)</t>
  </si>
  <si>
    <t xml:space="preserve">This is realistic PLACEHOLDER data so we can build and test the Square import now. Replace with the real count when it arrives.</t>
  </si>
  <si>
    <t xml:space="preserve">What's real vs. placeholder:</t>
  </si>
  <si>
    <t xml:space="preserve">   • Brands, names, concentrations, scent families and note pyramids are real product info.</t>
  </si>
  <si>
    <t xml:space="preserve">   • Prices are approximate street prices — verify against the shop's actual pricing.</t>
  </si>
  <si>
    <t xml:space="preserve">   • Cost is estimated at ~55% of price — replace with the shop's real cost.</t>
  </si>
  <si>
    <t xml:space="preserve">   • Barcodes are synthetic (200... prefix = the range reserved for in-store use). Swap in real UPCs when counting.</t>
  </si>
  <si>
    <t xml:space="preserve">   • Quantities are random placeholders.</t>
  </si>
  <si>
    <t xml:space="preserve">   • Descriptions are auto-generated in a neutral voice — rewrite in the shop's own voice later.</t>
  </si>
  <si>
    <t xml:space="preserve">SKU auto-generates as BRAND-NAME-SIZE from Brand, Product Name, and Size. Don't type it.</t>
  </si>
  <si>
    <t xml:space="preserve">One row per size. Cream = catalog (goes to Square). Terracotta = scent fields (power recommendations).</t>
  </si>
  <si>
    <t xml:space="preserve">15 blank rows are left at the bottom for you to add to.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</si>
</sst>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7A6A5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color rgb="FFB5651D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5651D"/>
        <bgColor rgb="FF7A6A58"/>
      </patternFill>
    </fill>
    <fill>
      <patternFill patternType="solid">
        <fgColor rgb="FFF0E6D8"/>
        <bgColor rgb="FFE6D3C3"/>
      </patternFill>
    </fill>
    <fill>
      <patternFill patternType="solid">
        <fgColor rgb="FFE6D3C3"/>
        <bgColor rgb="FFD9C9B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C9B6"/>
      </left>
      <right style="thin">
        <color rgb="FFD9C9B6"/>
      </right>
      <top style="thin">
        <color rgb="FFD9C9B6"/>
      </top>
      <bottom style="thin">
        <color rgb="FFD9C9B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B5651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651D"/>
      <rgbColor rgb="FF800080"/>
      <rgbColor rgb="FF008080"/>
      <rgbColor rgb="FFD9C9B6"/>
      <rgbColor rgb="FF7A6A58"/>
      <rgbColor rgb="FF9999FF"/>
      <rgbColor rgb="FF993366"/>
      <rgbColor rgb="FFF0E6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6D3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3" min="11" style="0" width="26"/>
    <col collapsed="false" customWidth="true" hidden="false" outlineLevel="0" max="14" min="14" style="0" width="12"/>
    <col collapsed="false" customWidth="true" hidden="false" outlineLevel="0" max="15" min="15" style="0" width="46"/>
  </cols>
  <sheetData>
    <row r="1" customFormat="false" ht="15" hidden="false" customHeight="false" outlineLevel="0" collapsed="false">
      <c r="A1" s="1" t="s">
        <v>0</v>
      </c>
      <c r="J1" s="1" t="s">
        <v>1</v>
      </c>
    </row>
    <row r="2" customFormat="false" ht="30" hidden="false" customHeight="true" outlineLevel="0" collapsed="false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</row>
    <row r="3" customFormat="false" ht="15" hidden="false" customHeight="false" outlineLevel="0" collapsed="false">
      <c r="A3" s="3" t="s">
        <v>17</v>
      </c>
      <c r="B3" s="3" t="s">
        <v>18</v>
      </c>
      <c r="C3" s="3" t="s">
        <v>19</v>
      </c>
      <c r="D3" s="3" t="s">
        <v>20</v>
      </c>
      <c r="E3" s="3" t="str">
        <f aca="false">IF(AND(A3&lt;&gt;"",B3&lt;&gt;"",D3&lt;&gt;""),UPPER(SUBSTITUTE(A3," ","-"))&amp;"-"&amp;UPPER(SUBSTITUTE(B3," ","-"))&amp;"-"&amp;UPPER(SUBSTITUTE(D3," ","-")),"")</f>
        <v>DIOR-SAUVAGE-100ML</v>
      </c>
      <c r="F3" s="3" t="s">
        <v>21</v>
      </c>
      <c r="G3" s="4" t="n">
        <v>110</v>
      </c>
      <c r="H3" s="4" t="n">
        <v>61</v>
      </c>
      <c r="I3" s="5" t="n">
        <v>12</v>
      </c>
      <c r="J3" s="6" t="s">
        <v>22</v>
      </c>
      <c r="K3" s="6" t="s">
        <v>23</v>
      </c>
      <c r="L3" s="6" t="s">
        <v>24</v>
      </c>
      <c r="M3" s="6" t="s">
        <v>25</v>
      </c>
      <c r="N3" s="6" t="s">
        <v>26</v>
      </c>
      <c r="O3" s="6" t="s">
        <v>27</v>
      </c>
    </row>
    <row r="4" customFormat="false" ht="15" hidden="false" customHeight="false" outlineLevel="0" collapsed="false">
      <c r="A4" s="3" t="s">
        <v>28</v>
      </c>
      <c r="B4" s="3" t="s">
        <v>29</v>
      </c>
      <c r="C4" s="3" t="s">
        <v>30</v>
      </c>
      <c r="D4" s="3" t="s">
        <v>20</v>
      </c>
      <c r="E4" s="3" t="str">
        <f aca="false">IF(AND(A4&lt;&gt;"",B4&lt;&gt;"",D4&lt;&gt;""),UPPER(SUBSTITUTE(A4," ","-"))&amp;"-"&amp;UPPER(SUBSTITUTE(B4," ","-"))&amp;"-"&amp;UPPER(SUBSTITUTE(D4," ","-")),"")</f>
        <v>CHANEL-BLEU-DE-CHANEL-100ML</v>
      </c>
      <c r="F4" s="3" t="s">
        <v>31</v>
      </c>
      <c r="G4" s="4" t="n">
        <v>135</v>
      </c>
      <c r="H4" s="4" t="n">
        <v>74</v>
      </c>
      <c r="I4" s="5" t="n">
        <v>3</v>
      </c>
      <c r="J4" s="6" t="s">
        <v>32</v>
      </c>
      <c r="K4" s="6" t="s">
        <v>33</v>
      </c>
      <c r="L4" s="6" t="s">
        <v>34</v>
      </c>
      <c r="M4" s="6" t="s">
        <v>35</v>
      </c>
      <c r="N4" s="6" t="s">
        <v>26</v>
      </c>
      <c r="O4" s="6" t="s">
        <v>36</v>
      </c>
    </row>
    <row r="5" customFormat="false" ht="15" hidden="false" customHeight="false" outlineLevel="0" collapsed="false">
      <c r="A5" s="3" t="s">
        <v>37</v>
      </c>
      <c r="B5" s="3" t="s">
        <v>38</v>
      </c>
      <c r="C5" s="3" t="s">
        <v>30</v>
      </c>
      <c r="D5" s="3" t="s">
        <v>20</v>
      </c>
      <c r="E5" s="3" t="str">
        <f aca="false">IF(AND(A5&lt;&gt;"",B5&lt;&gt;"",D5&lt;&gt;""),UPPER(SUBSTITUTE(A5," ","-"))&amp;"-"&amp;UPPER(SUBSTITUTE(B5," ","-"))&amp;"-"&amp;UPPER(SUBSTITUTE(D5," ","-")),"")</f>
        <v>CREED-AVENTUS-100ML</v>
      </c>
      <c r="F5" s="3" t="s">
        <v>39</v>
      </c>
      <c r="G5" s="4" t="n">
        <v>445</v>
      </c>
      <c r="H5" s="4" t="n">
        <v>245</v>
      </c>
      <c r="I5" s="5" t="n">
        <v>2</v>
      </c>
      <c r="J5" s="6" t="s">
        <v>40</v>
      </c>
      <c r="K5" s="6" t="s">
        <v>41</v>
      </c>
      <c r="L5" s="6" t="s">
        <v>42</v>
      </c>
      <c r="M5" s="6" t="s">
        <v>43</v>
      </c>
      <c r="N5" s="6" t="s">
        <v>26</v>
      </c>
      <c r="O5" s="6" t="s">
        <v>44</v>
      </c>
    </row>
    <row r="6" customFormat="false" ht="15" hidden="false" customHeight="false" outlineLevel="0" collapsed="false">
      <c r="A6" s="3" t="s">
        <v>45</v>
      </c>
      <c r="B6" s="3" t="s">
        <v>46</v>
      </c>
      <c r="C6" s="3" t="s">
        <v>19</v>
      </c>
      <c r="D6" s="3" t="s">
        <v>20</v>
      </c>
      <c r="E6" s="3" t="str">
        <f aca="false">IF(AND(A6&lt;&gt;"",B6&lt;&gt;"",D6&lt;&gt;""),UPPER(SUBSTITUTE(A6," ","-"))&amp;"-"&amp;UPPER(SUBSTITUTE(B6," ","-"))&amp;"-"&amp;UPPER(SUBSTITUTE(D6," ","-")),"")</f>
        <v>PACO-RABANNE-1-MILLION-100ML</v>
      </c>
      <c r="F6" s="3" t="s">
        <v>47</v>
      </c>
      <c r="G6" s="4" t="n">
        <v>95</v>
      </c>
      <c r="H6" s="4" t="n">
        <v>52</v>
      </c>
      <c r="I6" s="5" t="n">
        <v>13</v>
      </c>
      <c r="J6" s="6" t="s">
        <v>48</v>
      </c>
      <c r="K6" s="6" t="s">
        <v>49</v>
      </c>
      <c r="L6" s="6" t="s">
        <v>50</v>
      </c>
      <c r="M6" s="6" t="s">
        <v>51</v>
      </c>
      <c r="N6" s="6" t="s">
        <v>26</v>
      </c>
      <c r="O6" s="6" t="s">
        <v>52</v>
      </c>
    </row>
    <row r="7" customFormat="false" ht="15" hidden="false" customHeight="false" outlineLevel="0" collapsed="false">
      <c r="A7" s="3" t="s">
        <v>45</v>
      </c>
      <c r="B7" s="3" t="s">
        <v>53</v>
      </c>
      <c r="C7" s="3" t="s">
        <v>19</v>
      </c>
      <c r="D7" s="3" t="s">
        <v>20</v>
      </c>
      <c r="E7" s="3" t="str">
        <f aca="false">IF(AND(A7&lt;&gt;"",B7&lt;&gt;"",D7&lt;&gt;""),UPPER(SUBSTITUTE(A7," ","-"))&amp;"-"&amp;UPPER(SUBSTITUTE(B7," ","-"))&amp;"-"&amp;UPPER(SUBSTITUTE(D7," ","-")),"")</f>
        <v>PACO-RABANNE-INVICTUS-100ML</v>
      </c>
      <c r="F7" s="3" t="s">
        <v>54</v>
      </c>
      <c r="G7" s="4" t="n">
        <v>90</v>
      </c>
      <c r="H7" s="4" t="n">
        <v>50</v>
      </c>
      <c r="I7" s="5" t="n">
        <v>6</v>
      </c>
      <c r="J7" s="6" t="s">
        <v>22</v>
      </c>
      <c r="K7" s="6" t="s">
        <v>55</v>
      </c>
      <c r="L7" s="6" t="s">
        <v>56</v>
      </c>
      <c r="M7" s="6" t="s">
        <v>57</v>
      </c>
      <c r="N7" s="6" t="s">
        <v>26</v>
      </c>
      <c r="O7" s="6" t="s">
        <v>58</v>
      </c>
    </row>
    <row r="8" customFormat="false" ht="15" hidden="false" customHeight="false" outlineLevel="0" collapsed="false">
      <c r="A8" s="3" t="s">
        <v>59</v>
      </c>
      <c r="B8" s="3" t="s">
        <v>60</v>
      </c>
      <c r="C8" s="3" t="s">
        <v>19</v>
      </c>
      <c r="D8" s="3" t="s">
        <v>20</v>
      </c>
      <c r="E8" s="3" t="str">
        <f aca="false">IF(AND(A8&lt;&gt;"",B8&lt;&gt;"",D8&lt;&gt;""),UPPER(SUBSTITUTE(A8," ","-"))&amp;"-"&amp;UPPER(SUBSTITUTE(B8," ","-"))&amp;"-"&amp;UPPER(SUBSTITUTE(D8," ","-")),"")</f>
        <v>VERSACE-EROS-100ML</v>
      </c>
      <c r="F8" s="3" t="s">
        <v>61</v>
      </c>
      <c r="G8" s="4" t="n">
        <v>85</v>
      </c>
      <c r="H8" s="4" t="n">
        <v>47</v>
      </c>
      <c r="I8" s="5" t="n">
        <v>5</v>
      </c>
      <c r="J8" s="6" t="s">
        <v>22</v>
      </c>
      <c r="K8" s="6" t="s">
        <v>62</v>
      </c>
      <c r="L8" s="6" t="s">
        <v>63</v>
      </c>
      <c r="M8" s="6" t="s">
        <v>64</v>
      </c>
      <c r="N8" s="6" t="s">
        <v>26</v>
      </c>
      <c r="O8" s="6" t="s">
        <v>65</v>
      </c>
    </row>
    <row r="9" customFormat="false" ht="15" hidden="false" customHeight="false" outlineLevel="0" collapsed="false">
      <c r="A9" s="3" t="s">
        <v>59</v>
      </c>
      <c r="B9" s="3" t="s">
        <v>66</v>
      </c>
      <c r="C9" s="3" t="s">
        <v>19</v>
      </c>
      <c r="D9" s="3" t="s">
        <v>20</v>
      </c>
      <c r="E9" s="3" t="str">
        <f aca="false">IF(AND(A9&lt;&gt;"",B9&lt;&gt;"",D9&lt;&gt;""),UPPER(SUBSTITUTE(A9," ","-"))&amp;"-"&amp;UPPER(SUBSTITUTE(B9," ","-"))&amp;"-"&amp;UPPER(SUBSTITUTE(D9," ","-")),"")</f>
        <v>VERSACE-DYLAN-BLUE-100ML</v>
      </c>
      <c r="F9" s="3" t="s">
        <v>67</v>
      </c>
      <c r="G9" s="4" t="n">
        <v>80</v>
      </c>
      <c r="H9" s="4" t="n">
        <v>44</v>
      </c>
      <c r="I9" s="5" t="n">
        <v>5</v>
      </c>
      <c r="J9" s="6" t="s">
        <v>22</v>
      </c>
      <c r="K9" s="6" t="s">
        <v>68</v>
      </c>
      <c r="L9" s="6" t="s">
        <v>69</v>
      </c>
      <c r="M9" s="6" t="s">
        <v>70</v>
      </c>
      <c r="N9" s="6" t="s">
        <v>26</v>
      </c>
      <c r="O9" s="6" t="s">
        <v>71</v>
      </c>
    </row>
    <row r="10" customFormat="false" ht="15" hidden="false" customHeight="false" outlineLevel="0" collapsed="false">
      <c r="A10" s="3" t="s">
        <v>17</v>
      </c>
      <c r="B10" s="3" t="s">
        <v>72</v>
      </c>
      <c r="C10" s="3" t="s">
        <v>30</v>
      </c>
      <c r="D10" s="3" t="s">
        <v>20</v>
      </c>
      <c r="E10" s="3" t="str">
        <f aca="false">IF(AND(A10&lt;&gt;"",B10&lt;&gt;"",D10&lt;&gt;""),UPPER(SUBSTITUTE(A10," ","-"))&amp;"-"&amp;UPPER(SUBSTITUTE(B10," ","-"))&amp;"-"&amp;UPPER(SUBSTITUTE(D10," ","-")),"")</f>
        <v>DIOR-DIOR-HOMME-INTENSE-100ML</v>
      </c>
      <c r="F10" s="3" t="s">
        <v>73</v>
      </c>
      <c r="G10" s="4" t="n">
        <v>120</v>
      </c>
      <c r="H10" s="4" t="n">
        <v>66</v>
      </c>
      <c r="I10" s="5" t="n">
        <v>4</v>
      </c>
      <c r="J10" s="6" t="s">
        <v>32</v>
      </c>
      <c r="K10" s="6" t="s">
        <v>74</v>
      </c>
      <c r="L10" s="6" t="s">
        <v>75</v>
      </c>
      <c r="M10" s="6" t="s">
        <v>76</v>
      </c>
      <c r="N10" s="6" t="s">
        <v>26</v>
      </c>
      <c r="O10" s="6" t="s">
        <v>77</v>
      </c>
    </row>
    <row r="11" customFormat="false" ht="15" hidden="false" customHeight="false" outlineLevel="0" collapsed="false">
      <c r="A11" s="3" t="s">
        <v>78</v>
      </c>
      <c r="B11" s="3" t="s">
        <v>79</v>
      </c>
      <c r="C11" s="3" t="s">
        <v>19</v>
      </c>
      <c r="D11" s="3" t="s">
        <v>20</v>
      </c>
      <c r="E11" s="3" t="str">
        <f aca="false">IF(AND(A11&lt;&gt;"",B11&lt;&gt;"",D11&lt;&gt;""),UPPER(SUBSTITUTE(A11," ","-"))&amp;"-"&amp;UPPER(SUBSTITUTE(B11," ","-"))&amp;"-"&amp;UPPER(SUBSTITUTE(D11," ","-")),"")</f>
        <v>GIORGIO-ARMANI-ACQUA-DI-GIO-100ML</v>
      </c>
      <c r="F11" s="3" t="s">
        <v>80</v>
      </c>
      <c r="G11" s="4" t="n">
        <v>85</v>
      </c>
      <c r="H11" s="4" t="n">
        <v>47</v>
      </c>
      <c r="I11" s="5" t="n">
        <v>13</v>
      </c>
      <c r="J11" s="6" t="s">
        <v>81</v>
      </c>
      <c r="K11" s="6" t="s">
        <v>82</v>
      </c>
      <c r="L11" s="6" t="s">
        <v>83</v>
      </c>
      <c r="M11" s="6" t="s">
        <v>84</v>
      </c>
      <c r="N11" s="6" t="s">
        <v>26</v>
      </c>
      <c r="O11" s="6" t="s">
        <v>85</v>
      </c>
    </row>
    <row r="12" customFormat="false" ht="15" hidden="false" customHeight="false" outlineLevel="0" collapsed="false">
      <c r="A12" s="3" t="s">
        <v>78</v>
      </c>
      <c r="B12" s="3" t="s">
        <v>86</v>
      </c>
      <c r="C12" s="3" t="s">
        <v>30</v>
      </c>
      <c r="D12" s="3" t="s">
        <v>87</v>
      </c>
      <c r="E12" s="3" t="str">
        <f aca="false">IF(AND(A12&lt;&gt;"",B12&lt;&gt;"",D12&lt;&gt;""),UPPER(SUBSTITUTE(A12," ","-"))&amp;"-"&amp;UPPER(SUBSTITUTE(B12," ","-"))&amp;"-"&amp;UPPER(SUBSTITUTE(D12," ","-")),"")</f>
        <v>GIORGIO-ARMANI-ACQUA-DI-GIO-PROFUMO-75ML</v>
      </c>
      <c r="F12" s="3" t="s">
        <v>88</v>
      </c>
      <c r="G12" s="4" t="n">
        <v>110</v>
      </c>
      <c r="H12" s="4" t="n">
        <v>61</v>
      </c>
      <c r="I12" s="5" t="n">
        <v>3</v>
      </c>
      <c r="J12" s="6" t="s">
        <v>81</v>
      </c>
      <c r="K12" s="6" t="s">
        <v>89</v>
      </c>
      <c r="L12" s="6" t="s">
        <v>90</v>
      </c>
      <c r="M12" s="6" t="s">
        <v>91</v>
      </c>
      <c r="N12" s="6" t="s">
        <v>26</v>
      </c>
      <c r="O12" s="6" t="s">
        <v>92</v>
      </c>
    </row>
    <row r="13" customFormat="false" ht="15" hidden="false" customHeight="false" outlineLevel="0" collapsed="false">
      <c r="A13" s="3" t="s">
        <v>93</v>
      </c>
      <c r="B13" s="3" t="s">
        <v>94</v>
      </c>
      <c r="C13" s="3" t="s">
        <v>19</v>
      </c>
      <c r="D13" s="3" t="s">
        <v>20</v>
      </c>
      <c r="E13" s="3" t="str">
        <f aca="false">IF(AND(A13&lt;&gt;"",B13&lt;&gt;"",D13&lt;&gt;""),UPPER(SUBSTITUTE(A13," ","-"))&amp;"-"&amp;UPPER(SUBSTITUTE(B13," ","-"))&amp;"-"&amp;UPPER(SUBSTITUTE(D13," ","-")),"")</f>
        <v>YVES-SAINT-LAURENT-LA-NUIT-DE-L'HOMME-100ML</v>
      </c>
      <c r="F13" s="3" t="s">
        <v>95</v>
      </c>
      <c r="G13" s="4" t="n">
        <v>95</v>
      </c>
      <c r="H13" s="4" t="n">
        <v>52</v>
      </c>
      <c r="I13" s="5" t="n">
        <v>12</v>
      </c>
      <c r="J13" s="6" t="s">
        <v>48</v>
      </c>
      <c r="K13" s="6" t="s">
        <v>96</v>
      </c>
      <c r="L13" s="6" t="s">
        <v>97</v>
      </c>
      <c r="M13" s="6" t="s">
        <v>98</v>
      </c>
      <c r="N13" s="6" t="s">
        <v>26</v>
      </c>
      <c r="O13" s="6" t="s">
        <v>99</v>
      </c>
    </row>
    <row r="14" customFormat="false" ht="15" hidden="false" customHeight="false" outlineLevel="0" collapsed="false">
      <c r="A14" s="3" t="s">
        <v>93</v>
      </c>
      <c r="B14" s="3" t="s">
        <v>100</v>
      </c>
      <c r="C14" s="3" t="s">
        <v>30</v>
      </c>
      <c r="D14" s="3" t="s">
        <v>20</v>
      </c>
      <c r="E14" s="3" t="str">
        <f aca="false">IF(AND(A14&lt;&gt;"",B14&lt;&gt;"",D14&lt;&gt;""),UPPER(SUBSTITUTE(A14," ","-"))&amp;"-"&amp;UPPER(SUBSTITUTE(B14," ","-"))&amp;"-"&amp;UPPER(SUBSTITUTE(D14," ","-")),"")</f>
        <v>YVES-SAINT-LAURENT-Y-100ML</v>
      </c>
      <c r="F14" s="3" t="s">
        <v>101</v>
      </c>
      <c r="G14" s="4" t="n">
        <v>100</v>
      </c>
      <c r="H14" s="4" t="n">
        <v>55</v>
      </c>
      <c r="I14" s="5" t="n">
        <v>13</v>
      </c>
      <c r="J14" s="6" t="s">
        <v>22</v>
      </c>
      <c r="K14" s="6" t="s">
        <v>102</v>
      </c>
      <c r="L14" s="6" t="s">
        <v>103</v>
      </c>
      <c r="M14" s="6" t="s">
        <v>104</v>
      </c>
      <c r="N14" s="6" t="s">
        <v>26</v>
      </c>
      <c r="O14" s="6" t="s">
        <v>105</v>
      </c>
    </row>
    <row r="15" customFormat="false" ht="15" hidden="false" customHeight="false" outlineLevel="0" collapsed="false">
      <c r="A15" s="3" t="s">
        <v>106</v>
      </c>
      <c r="B15" s="3" t="s">
        <v>107</v>
      </c>
      <c r="C15" s="3" t="s">
        <v>19</v>
      </c>
      <c r="D15" s="3" t="s">
        <v>20</v>
      </c>
      <c r="E15" s="3" t="str">
        <f aca="false">IF(AND(A15&lt;&gt;"",B15&lt;&gt;"",D15&lt;&gt;""),UPPER(SUBSTITUTE(A15," ","-"))&amp;"-"&amp;UPPER(SUBSTITUTE(B15," ","-"))&amp;"-"&amp;UPPER(SUBSTITUTE(D15," ","-")),"")</f>
        <v>JEAN-PAUL-GAULTIER-LE-MALE-100ML</v>
      </c>
      <c r="F15" s="3" t="s">
        <v>108</v>
      </c>
      <c r="G15" s="4" t="n">
        <v>85</v>
      </c>
      <c r="H15" s="4" t="n">
        <v>47</v>
      </c>
      <c r="I15" s="5" t="n">
        <v>10</v>
      </c>
      <c r="J15" s="6" t="s">
        <v>109</v>
      </c>
      <c r="K15" s="6" t="s">
        <v>110</v>
      </c>
      <c r="L15" s="6" t="s">
        <v>111</v>
      </c>
      <c r="M15" s="6" t="s">
        <v>112</v>
      </c>
      <c r="N15" s="6" t="s">
        <v>26</v>
      </c>
      <c r="O15" s="6" t="s">
        <v>113</v>
      </c>
    </row>
    <row r="16" customFormat="false" ht="15" hidden="false" customHeight="false" outlineLevel="0" collapsed="false">
      <c r="A16" s="3" t="s">
        <v>106</v>
      </c>
      <c r="B16" s="3" t="s">
        <v>114</v>
      </c>
      <c r="C16" s="3" t="s">
        <v>30</v>
      </c>
      <c r="D16" s="3" t="s">
        <v>20</v>
      </c>
      <c r="E16" s="3" t="str">
        <f aca="false">IF(AND(A16&lt;&gt;"",B16&lt;&gt;"",D16&lt;&gt;""),UPPER(SUBSTITUTE(A16," ","-"))&amp;"-"&amp;UPPER(SUBSTITUTE(B16," ","-"))&amp;"-"&amp;UPPER(SUBSTITUTE(D16," ","-")),"")</f>
        <v>JEAN-PAUL-GAULTIER-LE-MALE-LE-PARFUM-100ML</v>
      </c>
      <c r="F16" s="3" t="s">
        <v>115</v>
      </c>
      <c r="G16" s="4" t="n">
        <v>110</v>
      </c>
      <c r="H16" s="4" t="n">
        <v>61</v>
      </c>
      <c r="I16" s="5" t="n">
        <v>3</v>
      </c>
      <c r="J16" s="6" t="s">
        <v>48</v>
      </c>
      <c r="K16" s="6" t="s">
        <v>116</v>
      </c>
      <c r="L16" s="6" t="s">
        <v>74</v>
      </c>
      <c r="M16" s="6" t="s">
        <v>117</v>
      </c>
      <c r="N16" s="6" t="s">
        <v>26</v>
      </c>
      <c r="O16" s="6" t="s">
        <v>118</v>
      </c>
    </row>
    <row r="17" customFormat="false" ht="15" hidden="false" customHeight="false" outlineLevel="0" collapsed="false">
      <c r="A17" s="3" t="s">
        <v>119</v>
      </c>
      <c r="B17" s="3" t="s">
        <v>120</v>
      </c>
      <c r="C17" s="3" t="s">
        <v>19</v>
      </c>
      <c r="D17" s="3" t="s">
        <v>20</v>
      </c>
      <c r="E17" s="3" t="str">
        <f aca="false">IF(AND(A17&lt;&gt;"",B17&lt;&gt;"",D17&lt;&gt;""),UPPER(SUBSTITUTE(A17," ","-"))&amp;"-"&amp;UPPER(SUBSTITUTE(B17," ","-"))&amp;"-"&amp;UPPER(SUBSTITUTE(D17," ","-")),"")</f>
        <v>PRADA-LUNA-ROSSA-CARBON-100ML</v>
      </c>
      <c r="F17" s="3" t="s">
        <v>121</v>
      </c>
      <c r="G17" s="4" t="n">
        <v>95</v>
      </c>
      <c r="H17" s="4" t="n">
        <v>52</v>
      </c>
      <c r="I17" s="5" t="n">
        <v>11</v>
      </c>
      <c r="J17" s="6" t="s">
        <v>22</v>
      </c>
      <c r="K17" s="6" t="s">
        <v>23</v>
      </c>
      <c r="L17" s="6" t="s">
        <v>122</v>
      </c>
      <c r="M17" s="6" t="s">
        <v>123</v>
      </c>
      <c r="N17" s="6" t="s">
        <v>26</v>
      </c>
      <c r="O17" s="6" t="s">
        <v>27</v>
      </c>
    </row>
    <row r="18" customFormat="false" ht="15" hidden="false" customHeight="false" outlineLevel="0" collapsed="false">
      <c r="A18" s="3" t="s">
        <v>124</v>
      </c>
      <c r="B18" s="3" t="s">
        <v>125</v>
      </c>
      <c r="C18" s="3" t="s">
        <v>30</v>
      </c>
      <c r="D18" s="3" t="s">
        <v>20</v>
      </c>
      <c r="E18" s="3" t="str">
        <f aca="false">IF(AND(A18&lt;&gt;"",B18&lt;&gt;"",D18&lt;&gt;""),UPPER(SUBSTITUTE(A18," ","-"))&amp;"-"&amp;UPPER(SUBSTITUTE(B18," ","-"))&amp;"-"&amp;UPPER(SUBSTITUTE(D18," ","-")),"")</f>
        <v>MONTBLANC-EXPLORER-100ML</v>
      </c>
      <c r="F18" s="3" t="s">
        <v>126</v>
      </c>
      <c r="G18" s="4" t="n">
        <v>85</v>
      </c>
      <c r="H18" s="4" t="n">
        <v>47</v>
      </c>
      <c r="I18" s="5" t="n">
        <v>8</v>
      </c>
      <c r="J18" s="6" t="s">
        <v>32</v>
      </c>
      <c r="K18" s="6" t="s">
        <v>127</v>
      </c>
      <c r="L18" s="6" t="s">
        <v>128</v>
      </c>
      <c r="M18" s="6" t="s">
        <v>129</v>
      </c>
      <c r="N18" s="6" t="s">
        <v>26</v>
      </c>
      <c r="O18" s="6" t="s">
        <v>130</v>
      </c>
    </row>
    <row r="19" customFormat="false" ht="15" hidden="false" customHeight="false" outlineLevel="0" collapsed="false">
      <c r="A19" s="3" t="s">
        <v>124</v>
      </c>
      <c r="B19" s="3" t="s">
        <v>131</v>
      </c>
      <c r="C19" s="3" t="s">
        <v>19</v>
      </c>
      <c r="D19" s="3" t="s">
        <v>20</v>
      </c>
      <c r="E19" s="3" t="str">
        <f aca="false">IF(AND(A19&lt;&gt;"",B19&lt;&gt;"",D19&lt;&gt;""),UPPER(SUBSTITUTE(A19," ","-"))&amp;"-"&amp;UPPER(SUBSTITUTE(B19," ","-"))&amp;"-"&amp;UPPER(SUBSTITUTE(D19," ","-")),"")</f>
        <v>MONTBLANC-LEGEND-100ML</v>
      </c>
      <c r="F19" s="3" t="s">
        <v>132</v>
      </c>
      <c r="G19" s="4" t="n">
        <v>75</v>
      </c>
      <c r="H19" s="4" t="n">
        <v>41</v>
      </c>
      <c r="I19" s="5" t="n">
        <v>2</v>
      </c>
      <c r="J19" s="6" t="s">
        <v>109</v>
      </c>
      <c r="K19" s="6" t="s">
        <v>133</v>
      </c>
      <c r="L19" s="6" t="s">
        <v>134</v>
      </c>
      <c r="M19" s="6" t="s">
        <v>135</v>
      </c>
      <c r="N19" s="6" t="s">
        <v>26</v>
      </c>
      <c r="O19" s="6" t="s">
        <v>136</v>
      </c>
    </row>
    <row r="20" customFormat="false" ht="15" hidden="false" customHeight="false" outlineLevel="0" collapsed="false">
      <c r="A20" s="3" t="s">
        <v>137</v>
      </c>
      <c r="B20" s="3" t="s">
        <v>138</v>
      </c>
      <c r="C20" s="3" t="s">
        <v>19</v>
      </c>
      <c r="D20" s="3" t="s">
        <v>20</v>
      </c>
      <c r="E20" s="3" t="str">
        <f aca="false">IF(AND(A20&lt;&gt;"",B20&lt;&gt;"",D20&lt;&gt;""),UPPER(SUBSTITUTE(A20," ","-"))&amp;"-"&amp;UPPER(SUBSTITUTE(B20," ","-"))&amp;"-"&amp;UPPER(SUBSTITUTE(D20," ","-")),"")</f>
        <v>AZZARO-CHROME-100ML</v>
      </c>
      <c r="F20" s="3" t="s">
        <v>139</v>
      </c>
      <c r="G20" s="4" t="n">
        <v>70</v>
      </c>
      <c r="H20" s="4" t="n">
        <v>38</v>
      </c>
      <c r="I20" s="5" t="n">
        <v>2</v>
      </c>
      <c r="J20" s="6" t="s">
        <v>140</v>
      </c>
      <c r="K20" s="6" t="s">
        <v>141</v>
      </c>
      <c r="L20" s="6" t="s">
        <v>142</v>
      </c>
      <c r="M20" s="6" t="s">
        <v>143</v>
      </c>
      <c r="N20" s="6" t="s">
        <v>26</v>
      </c>
      <c r="O20" s="6" t="s">
        <v>144</v>
      </c>
    </row>
    <row r="21" customFormat="false" ht="15" hidden="false" customHeight="false" outlineLevel="0" collapsed="false">
      <c r="A21" s="3" t="s">
        <v>137</v>
      </c>
      <c r="B21" s="3" t="s">
        <v>145</v>
      </c>
      <c r="C21" s="3" t="s">
        <v>19</v>
      </c>
      <c r="D21" s="3" t="s">
        <v>20</v>
      </c>
      <c r="E21" s="3" t="str">
        <f aca="false">IF(AND(A21&lt;&gt;"",B21&lt;&gt;"",D21&lt;&gt;""),UPPER(SUBSTITUTE(A21," ","-"))&amp;"-"&amp;UPPER(SUBSTITUTE(B21," ","-"))&amp;"-"&amp;UPPER(SUBSTITUTE(D21," ","-")),"")</f>
        <v>AZZARO-WANTED-100ML</v>
      </c>
      <c r="F21" s="3" t="s">
        <v>146</v>
      </c>
      <c r="G21" s="4" t="n">
        <v>85</v>
      </c>
      <c r="H21" s="4" t="n">
        <v>47</v>
      </c>
      <c r="I21" s="5" t="n">
        <v>3</v>
      </c>
      <c r="J21" s="6" t="s">
        <v>48</v>
      </c>
      <c r="K21" s="6" t="s">
        <v>147</v>
      </c>
      <c r="L21" s="6" t="s">
        <v>148</v>
      </c>
      <c r="M21" s="6" t="s">
        <v>149</v>
      </c>
      <c r="N21" s="6" t="s">
        <v>26</v>
      </c>
      <c r="O21" s="6" t="s">
        <v>150</v>
      </c>
    </row>
    <row r="22" customFormat="false" ht="15" hidden="false" customHeight="false" outlineLevel="0" collapsed="false">
      <c r="A22" s="3" t="s">
        <v>151</v>
      </c>
      <c r="B22" s="3" t="s">
        <v>152</v>
      </c>
      <c r="C22" s="3" t="s">
        <v>19</v>
      </c>
      <c r="D22" s="3" t="s">
        <v>20</v>
      </c>
      <c r="E22" s="3" t="str">
        <f aca="false">IF(AND(A22&lt;&gt;"",B22&lt;&gt;"",D22&lt;&gt;""),UPPER(SUBSTITUTE(A22," ","-"))&amp;"-"&amp;UPPER(SUBSTITUTE(B22," ","-"))&amp;"-"&amp;UPPER(SUBSTITUTE(D22," ","-")),"")</f>
        <v>CAROLINA-HERRERA-BAD-BOY-100ML</v>
      </c>
      <c r="F22" s="3" t="s">
        <v>153</v>
      </c>
      <c r="G22" s="4" t="n">
        <v>95</v>
      </c>
      <c r="H22" s="4" t="n">
        <v>52</v>
      </c>
      <c r="I22" s="5" t="n">
        <v>5</v>
      </c>
      <c r="J22" s="6" t="s">
        <v>48</v>
      </c>
      <c r="K22" s="6" t="s">
        <v>154</v>
      </c>
      <c r="L22" s="6" t="s">
        <v>155</v>
      </c>
      <c r="M22" s="6" t="s">
        <v>156</v>
      </c>
      <c r="N22" s="6" t="s">
        <v>26</v>
      </c>
      <c r="O22" s="6" t="s">
        <v>157</v>
      </c>
    </row>
    <row r="23" customFormat="false" ht="15" hidden="false" customHeight="false" outlineLevel="0" collapsed="false">
      <c r="A23" s="3" t="s">
        <v>151</v>
      </c>
      <c r="B23" s="3" t="s">
        <v>158</v>
      </c>
      <c r="C23" s="3" t="s">
        <v>19</v>
      </c>
      <c r="D23" s="3" t="s">
        <v>20</v>
      </c>
      <c r="E23" s="3" t="str">
        <f aca="false">IF(AND(A23&lt;&gt;"",B23&lt;&gt;"",D23&lt;&gt;""),UPPER(SUBSTITUTE(A23," ","-"))&amp;"-"&amp;UPPER(SUBSTITUTE(B23," ","-"))&amp;"-"&amp;UPPER(SUBSTITUTE(D23," ","-")),"")</f>
        <v>CAROLINA-HERRERA-212-VIP-MEN-100ML</v>
      </c>
      <c r="F23" s="3" t="s">
        <v>159</v>
      </c>
      <c r="G23" s="4" t="n">
        <v>92</v>
      </c>
      <c r="H23" s="4" t="n">
        <v>51</v>
      </c>
      <c r="I23" s="5" t="n">
        <v>5</v>
      </c>
      <c r="J23" s="6" t="s">
        <v>48</v>
      </c>
      <c r="K23" s="6" t="s">
        <v>160</v>
      </c>
      <c r="L23" s="6" t="s">
        <v>161</v>
      </c>
      <c r="M23" s="6" t="s">
        <v>162</v>
      </c>
      <c r="N23" s="6" t="s">
        <v>26</v>
      </c>
      <c r="O23" s="6" t="s">
        <v>163</v>
      </c>
    </row>
    <row r="24" customFormat="false" ht="15" hidden="false" customHeight="false" outlineLevel="0" collapsed="false">
      <c r="A24" s="3" t="s">
        <v>164</v>
      </c>
      <c r="B24" s="3" t="s">
        <v>165</v>
      </c>
      <c r="C24" s="3" t="s">
        <v>19</v>
      </c>
      <c r="D24" s="3" t="s">
        <v>20</v>
      </c>
      <c r="E24" s="3" t="str">
        <f aca="false">IF(AND(A24&lt;&gt;"",B24&lt;&gt;"",D24&lt;&gt;""),UPPER(SUBSTITUTE(A24," ","-"))&amp;"-"&amp;UPPER(SUBSTITUTE(B24," ","-"))&amp;"-"&amp;UPPER(SUBSTITUTE(D24," ","-")),"")</f>
        <v>DOLCE-&amp;-GABBANA-THE-ONE-FOR-MEN-100ML</v>
      </c>
      <c r="F24" s="3" t="s">
        <v>166</v>
      </c>
      <c r="G24" s="4" t="n">
        <v>95</v>
      </c>
      <c r="H24" s="4" t="n">
        <v>52</v>
      </c>
      <c r="I24" s="5" t="n">
        <v>10</v>
      </c>
      <c r="J24" s="6" t="s">
        <v>48</v>
      </c>
      <c r="K24" s="6" t="s">
        <v>167</v>
      </c>
      <c r="L24" s="6" t="s">
        <v>168</v>
      </c>
      <c r="M24" s="6" t="s">
        <v>169</v>
      </c>
      <c r="N24" s="6" t="s">
        <v>26</v>
      </c>
      <c r="O24" s="6" t="s">
        <v>170</v>
      </c>
    </row>
    <row r="25" customFormat="false" ht="15" hidden="false" customHeight="false" outlineLevel="0" collapsed="false">
      <c r="A25" s="3" t="s">
        <v>164</v>
      </c>
      <c r="B25" s="3" t="s">
        <v>171</v>
      </c>
      <c r="C25" s="3" t="s">
        <v>19</v>
      </c>
      <c r="D25" s="3" t="s">
        <v>20</v>
      </c>
      <c r="E25" s="3" t="str">
        <f aca="false">IF(AND(A25&lt;&gt;"",B25&lt;&gt;"",D25&lt;&gt;""),UPPER(SUBSTITUTE(A25," ","-"))&amp;"-"&amp;UPPER(SUBSTITUTE(B25," ","-"))&amp;"-"&amp;UPPER(SUBSTITUTE(D25," ","-")),"")</f>
        <v>DOLCE-&amp;-GABBANA-LIGHT-BLUE-POUR-HOMME-100ML</v>
      </c>
      <c r="F25" s="3" t="s">
        <v>172</v>
      </c>
      <c r="G25" s="4" t="n">
        <v>80</v>
      </c>
      <c r="H25" s="4" t="n">
        <v>44</v>
      </c>
      <c r="I25" s="5" t="n">
        <v>11</v>
      </c>
      <c r="J25" s="6" t="s">
        <v>140</v>
      </c>
      <c r="K25" s="6" t="s">
        <v>173</v>
      </c>
      <c r="L25" s="6" t="s">
        <v>174</v>
      </c>
      <c r="M25" s="6" t="s">
        <v>175</v>
      </c>
      <c r="N25" s="6" t="s">
        <v>26</v>
      </c>
      <c r="O25" s="6" t="s">
        <v>176</v>
      </c>
    </row>
    <row r="26" customFormat="false" ht="15" hidden="false" customHeight="false" outlineLevel="0" collapsed="false">
      <c r="A26" s="3" t="s">
        <v>177</v>
      </c>
      <c r="B26" s="3" t="s">
        <v>178</v>
      </c>
      <c r="C26" s="3" t="s">
        <v>30</v>
      </c>
      <c r="D26" s="3" t="s">
        <v>179</v>
      </c>
      <c r="E26" s="3" t="str">
        <f aca="false">IF(AND(A26&lt;&gt;"",B26&lt;&gt;"",D26&lt;&gt;""),UPPER(SUBSTITUTE(A26," ","-"))&amp;"-"&amp;UPPER(SUBSTITUTE(B26," ","-"))&amp;"-"&amp;UPPER(SUBSTITUTE(D26," ","-")),"")</f>
        <v>TOM-FORD-OUD-WOOD-50ML</v>
      </c>
      <c r="F26" s="3" t="s">
        <v>180</v>
      </c>
      <c r="G26" s="4" t="n">
        <v>260</v>
      </c>
      <c r="H26" s="4" t="n">
        <v>143</v>
      </c>
      <c r="I26" s="5" t="n">
        <v>2</v>
      </c>
      <c r="J26" s="6" t="s">
        <v>32</v>
      </c>
      <c r="K26" s="6" t="s">
        <v>181</v>
      </c>
      <c r="L26" s="6" t="s">
        <v>182</v>
      </c>
      <c r="M26" s="6" t="s">
        <v>183</v>
      </c>
      <c r="N26" s="6" t="s">
        <v>184</v>
      </c>
      <c r="O26" s="6" t="s">
        <v>185</v>
      </c>
    </row>
    <row r="27" customFormat="false" ht="15" hidden="false" customHeight="false" outlineLevel="0" collapsed="false">
      <c r="A27" s="3" t="s">
        <v>177</v>
      </c>
      <c r="B27" s="3" t="s">
        <v>186</v>
      </c>
      <c r="C27" s="3" t="s">
        <v>30</v>
      </c>
      <c r="D27" s="3" t="s">
        <v>179</v>
      </c>
      <c r="E27" s="3" t="str">
        <f aca="false">IF(AND(A27&lt;&gt;"",B27&lt;&gt;"",D27&lt;&gt;""),UPPER(SUBSTITUTE(A27," ","-"))&amp;"-"&amp;UPPER(SUBSTITUTE(B27," ","-"))&amp;"-"&amp;UPPER(SUBSTITUTE(D27," ","-")),"")</f>
        <v>TOM-FORD-TOBACCO-VANILLE-50ML</v>
      </c>
      <c r="F27" s="3" t="s">
        <v>187</v>
      </c>
      <c r="G27" s="4" t="n">
        <v>275</v>
      </c>
      <c r="H27" s="4" t="n">
        <v>151</v>
      </c>
      <c r="I27" s="5" t="n">
        <v>10</v>
      </c>
      <c r="J27" s="6" t="s">
        <v>48</v>
      </c>
      <c r="K27" s="6" t="s">
        <v>188</v>
      </c>
      <c r="L27" s="6" t="s">
        <v>189</v>
      </c>
      <c r="M27" s="6" t="s">
        <v>190</v>
      </c>
      <c r="N27" s="6" t="s">
        <v>184</v>
      </c>
      <c r="O27" s="6" t="s">
        <v>191</v>
      </c>
    </row>
    <row r="28" customFormat="false" ht="15" hidden="false" customHeight="false" outlineLevel="0" collapsed="false">
      <c r="A28" s="3" t="s">
        <v>177</v>
      </c>
      <c r="B28" s="3" t="s">
        <v>192</v>
      </c>
      <c r="C28" s="3" t="s">
        <v>30</v>
      </c>
      <c r="D28" s="3" t="s">
        <v>20</v>
      </c>
      <c r="E28" s="3" t="str">
        <f aca="false">IF(AND(A28&lt;&gt;"",B28&lt;&gt;"",D28&lt;&gt;""),UPPER(SUBSTITUTE(A28," ","-"))&amp;"-"&amp;UPPER(SUBSTITUTE(B28," ","-"))&amp;"-"&amp;UPPER(SUBSTITUTE(D28," ","-")),"")</f>
        <v>TOM-FORD-OMBRÉ-LEATHER-100ML</v>
      </c>
      <c r="F28" s="3" t="s">
        <v>193</v>
      </c>
      <c r="G28" s="4" t="n">
        <v>200</v>
      </c>
      <c r="H28" s="4" t="n">
        <v>110</v>
      </c>
      <c r="I28" s="5" t="n">
        <v>5</v>
      </c>
      <c r="J28" s="6" t="s">
        <v>194</v>
      </c>
      <c r="K28" s="6" t="s">
        <v>195</v>
      </c>
      <c r="L28" s="6" t="s">
        <v>196</v>
      </c>
      <c r="M28" s="6" t="s">
        <v>197</v>
      </c>
      <c r="N28" s="6" t="s">
        <v>184</v>
      </c>
      <c r="O28" s="6" t="s">
        <v>198</v>
      </c>
    </row>
    <row r="29" customFormat="false" ht="15" hidden="false" customHeight="false" outlineLevel="0" collapsed="false">
      <c r="A29" s="3" t="s">
        <v>177</v>
      </c>
      <c r="B29" s="3" t="s">
        <v>199</v>
      </c>
      <c r="C29" s="3" t="s">
        <v>30</v>
      </c>
      <c r="D29" s="3" t="s">
        <v>20</v>
      </c>
      <c r="E29" s="3" t="str">
        <f aca="false">IF(AND(A29&lt;&gt;"",B29&lt;&gt;"",D29&lt;&gt;""),UPPER(SUBSTITUTE(A29," ","-"))&amp;"-"&amp;UPPER(SUBSTITUTE(B29," ","-"))&amp;"-"&amp;UPPER(SUBSTITUTE(D29," ","-")),"")</f>
        <v>TOM-FORD-NOIR-EXTREME-100ML</v>
      </c>
      <c r="F29" s="3" t="s">
        <v>200</v>
      </c>
      <c r="G29" s="4" t="n">
        <v>180</v>
      </c>
      <c r="H29" s="4" t="n">
        <v>99</v>
      </c>
      <c r="I29" s="5" t="n">
        <v>13</v>
      </c>
      <c r="J29" s="6" t="s">
        <v>48</v>
      </c>
      <c r="K29" s="6" t="s">
        <v>201</v>
      </c>
      <c r="L29" s="6" t="s">
        <v>202</v>
      </c>
      <c r="M29" s="6" t="s">
        <v>203</v>
      </c>
      <c r="N29" s="6" t="s">
        <v>26</v>
      </c>
      <c r="O29" s="6" t="s">
        <v>204</v>
      </c>
    </row>
    <row r="30" customFormat="false" ht="15" hidden="false" customHeight="false" outlineLevel="0" collapsed="false">
      <c r="A30" s="3" t="s">
        <v>205</v>
      </c>
      <c r="B30" s="3" t="s">
        <v>206</v>
      </c>
      <c r="C30" s="3" t="s">
        <v>30</v>
      </c>
      <c r="D30" s="3" t="s">
        <v>20</v>
      </c>
      <c r="E30" s="3" t="str">
        <f aca="false">IF(AND(A30&lt;&gt;"",B30&lt;&gt;"",D30&lt;&gt;""),UPPER(SUBSTITUTE(A30," ","-"))&amp;"-"&amp;UPPER(SUBSTITUTE(B30," ","-"))&amp;"-"&amp;UPPER(SUBSTITUTE(D30," ","-")),"")</f>
        <v>BVLGARI-MAN-IN-BLACK-100ML</v>
      </c>
      <c r="F30" s="3" t="s">
        <v>207</v>
      </c>
      <c r="G30" s="4" t="n">
        <v>85</v>
      </c>
      <c r="H30" s="4" t="n">
        <v>47</v>
      </c>
      <c r="I30" s="5" t="n">
        <v>12</v>
      </c>
      <c r="J30" s="6" t="s">
        <v>48</v>
      </c>
      <c r="K30" s="6" t="s">
        <v>208</v>
      </c>
      <c r="L30" s="6" t="s">
        <v>209</v>
      </c>
      <c r="M30" s="6" t="s">
        <v>210</v>
      </c>
      <c r="N30" s="6" t="s">
        <v>26</v>
      </c>
      <c r="O30" s="6" t="s">
        <v>211</v>
      </c>
    </row>
    <row r="31" customFormat="false" ht="15" hidden="false" customHeight="false" outlineLevel="0" collapsed="false">
      <c r="A31" s="3" t="s">
        <v>28</v>
      </c>
      <c r="B31" s="3" t="s">
        <v>212</v>
      </c>
      <c r="C31" s="3" t="s">
        <v>30</v>
      </c>
      <c r="D31" s="3" t="s">
        <v>20</v>
      </c>
      <c r="E31" s="3" t="str">
        <f aca="false">IF(AND(A31&lt;&gt;"",B31&lt;&gt;"",D31&lt;&gt;""),UPPER(SUBSTITUTE(A31," ","-"))&amp;"-"&amp;UPPER(SUBSTITUTE(B31," ","-"))&amp;"-"&amp;UPPER(SUBSTITUTE(D31," ","-")),"")</f>
        <v>CHANEL-COCO-MADEMOISELLE-100ML</v>
      </c>
      <c r="F31" s="3" t="s">
        <v>213</v>
      </c>
      <c r="G31" s="4" t="n">
        <v>145</v>
      </c>
      <c r="H31" s="4" t="n">
        <v>80</v>
      </c>
      <c r="I31" s="5" t="n">
        <v>13</v>
      </c>
      <c r="J31" s="6" t="s">
        <v>40</v>
      </c>
      <c r="K31" s="6" t="s">
        <v>214</v>
      </c>
      <c r="L31" s="6" t="s">
        <v>215</v>
      </c>
      <c r="M31" s="6" t="s">
        <v>216</v>
      </c>
      <c r="N31" s="6" t="s">
        <v>217</v>
      </c>
      <c r="O31" s="6" t="s">
        <v>218</v>
      </c>
    </row>
    <row r="32" customFormat="false" ht="15" hidden="false" customHeight="false" outlineLevel="0" collapsed="false">
      <c r="A32" s="3" t="s">
        <v>28</v>
      </c>
      <c r="B32" s="3" t="s">
        <v>219</v>
      </c>
      <c r="C32" s="3" t="s">
        <v>30</v>
      </c>
      <c r="D32" s="3" t="s">
        <v>20</v>
      </c>
      <c r="E32" s="3" t="str">
        <f aca="false">IF(AND(A32&lt;&gt;"",B32&lt;&gt;"",D32&lt;&gt;""),UPPER(SUBSTITUTE(A32," ","-"))&amp;"-"&amp;UPPER(SUBSTITUTE(B32," ","-"))&amp;"-"&amp;UPPER(SUBSTITUTE(D32," ","-")),"")</f>
        <v>CHANEL-NO.-5-100ML</v>
      </c>
      <c r="F32" s="3" t="s">
        <v>220</v>
      </c>
      <c r="G32" s="4" t="n">
        <v>150</v>
      </c>
      <c r="H32" s="4" t="n">
        <v>82</v>
      </c>
      <c r="I32" s="5" t="n">
        <v>10</v>
      </c>
      <c r="J32" s="6" t="s">
        <v>221</v>
      </c>
      <c r="K32" s="6" t="s">
        <v>222</v>
      </c>
      <c r="L32" s="6" t="s">
        <v>223</v>
      </c>
      <c r="M32" s="6" t="s">
        <v>224</v>
      </c>
      <c r="N32" s="6" t="s">
        <v>217</v>
      </c>
      <c r="O32" s="6" t="s">
        <v>225</v>
      </c>
    </row>
    <row r="33" customFormat="false" ht="15" hidden="false" customHeight="false" outlineLevel="0" collapsed="false">
      <c r="A33" s="3" t="s">
        <v>28</v>
      </c>
      <c r="B33" s="3" t="s">
        <v>226</v>
      </c>
      <c r="C33" s="3" t="s">
        <v>19</v>
      </c>
      <c r="D33" s="3" t="s">
        <v>20</v>
      </c>
      <c r="E33" s="3" t="str">
        <f aca="false">IF(AND(A33&lt;&gt;"",B33&lt;&gt;"",D33&lt;&gt;""),UPPER(SUBSTITUTE(A33," ","-"))&amp;"-"&amp;UPPER(SUBSTITUTE(B33," ","-"))&amp;"-"&amp;UPPER(SUBSTITUTE(D33," ","-")),"")</f>
        <v>CHANEL-CHANCE-EAU-TENDRE-100ML</v>
      </c>
      <c r="F33" s="3" t="s">
        <v>227</v>
      </c>
      <c r="G33" s="4" t="n">
        <v>135</v>
      </c>
      <c r="H33" s="4" t="n">
        <v>74</v>
      </c>
      <c r="I33" s="5" t="n">
        <v>8</v>
      </c>
      <c r="J33" s="6" t="s">
        <v>221</v>
      </c>
      <c r="K33" s="6" t="s">
        <v>228</v>
      </c>
      <c r="L33" s="6" t="s">
        <v>229</v>
      </c>
      <c r="M33" s="6" t="s">
        <v>230</v>
      </c>
      <c r="N33" s="6" t="s">
        <v>217</v>
      </c>
      <c r="O33" s="6" t="s">
        <v>231</v>
      </c>
    </row>
    <row r="34" customFormat="false" ht="15" hidden="false" customHeight="false" outlineLevel="0" collapsed="false">
      <c r="A34" s="3" t="s">
        <v>17</v>
      </c>
      <c r="B34" s="3" t="s">
        <v>232</v>
      </c>
      <c r="C34" s="3" t="s">
        <v>30</v>
      </c>
      <c r="D34" s="3" t="s">
        <v>20</v>
      </c>
      <c r="E34" s="3" t="str">
        <f aca="false">IF(AND(A34&lt;&gt;"",B34&lt;&gt;"",D34&lt;&gt;""),UPPER(SUBSTITUTE(A34," ","-"))&amp;"-"&amp;UPPER(SUBSTITUTE(B34," ","-"))&amp;"-"&amp;UPPER(SUBSTITUTE(D34," ","-")),"")</f>
        <v>DIOR-J'ADORE-100ML</v>
      </c>
      <c r="F34" s="3" t="s">
        <v>233</v>
      </c>
      <c r="G34" s="4" t="n">
        <v>150</v>
      </c>
      <c r="H34" s="4" t="n">
        <v>82</v>
      </c>
      <c r="I34" s="5" t="n">
        <v>5</v>
      </c>
      <c r="J34" s="6" t="s">
        <v>221</v>
      </c>
      <c r="K34" s="6" t="s">
        <v>234</v>
      </c>
      <c r="L34" s="6" t="s">
        <v>235</v>
      </c>
      <c r="M34" s="6" t="s">
        <v>236</v>
      </c>
      <c r="N34" s="6" t="s">
        <v>217</v>
      </c>
      <c r="O34" s="6" t="s">
        <v>237</v>
      </c>
    </row>
    <row r="35" customFormat="false" ht="15" hidden="false" customHeight="false" outlineLevel="0" collapsed="false">
      <c r="A35" s="3" t="s">
        <v>17</v>
      </c>
      <c r="B35" s="3" t="s">
        <v>238</v>
      </c>
      <c r="C35" s="3" t="s">
        <v>30</v>
      </c>
      <c r="D35" s="3" t="s">
        <v>20</v>
      </c>
      <c r="E35" s="3" t="str">
        <f aca="false">IF(AND(A35&lt;&gt;"",B35&lt;&gt;"",D35&lt;&gt;""),UPPER(SUBSTITUTE(A35," ","-"))&amp;"-"&amp;UPPER(SUBSTITUTE(B35," ","-"))&amp;"-"&amp;UPPER(SUBSTITUTE(D35," ","-")),"")</f>
        <v>DIOR-MISS-DIOR-100ML</v>
      </c>
      <c r="F35" s="3" t="s">
        <v>239</v>
      </c>
      <c r="G35" s="4" t="n">
        <v>145</v>
      </c>
      <c r="H35" s="4" t="n">
        <v>80</v>
      </c>
      <c r="I35" s="5" t="n">
        <v>9</v>
      </c>
      <c r="J35" s="6" t="s">
        <v>221</v>
      </c>
      <c r="K35" s="6" t="s">
        <v>240</v>
      </c>
      <c r="L35" s="6" t="s">
        <v>241</v>
      </c>
      <c r="M35" s="6" t="s">
        <v>242</v>
      </c>
      <c r="N35" s="6" t="s">
        <v>217</v>
      </c>
      <c r="O35" s="6" t="s">
        <v>243</v>
      </c>
    </row>
    <row r="36" customFormat="false" ht="15" hidden="false" customHeight="false" outlineLevel="0" collapsed="false">
      <c r="A36" s="3" t="s">
        <v>244</v>
      </c>
      <c r="B36" s="3" t="s">
        <v>245</v>
      </c>
      <c r="C36" s="3" t="s">
        <v>30</v>
      </c>
      <c r="D36" s="3" t="s">
        <v>20</v>
      </c>
      <c r="E36" s="3" t="str">
        <f aca="false">IF(AND(A36&lt;&gt;"",B36&lt;&gt;"",D36&lt;&gt;""),UPPER(SUBSTITUTE(A36," ","-"))&amp;"-"&amp;UPPER(SUBSTITUTE(B36," ","-"))&amp;"-"&amp;UPPER(SUBSTITUTE(D36," ","-")),"")</f>
        <v>LANCÔME-LA-VIE-EST-BELLE-100ML</v>
      </c>
      <c r="F36" s="3" t="s">
        <v>246</v>
      </c>
      <c r="G36" s="4" t="n">
        <v>110</v>
      </c>
      <c r="H36" s="4" t="n">
        <v>61</v>
      </c>
      <c r="I36" s="5" t="n">
        <v>11</v>
      </c>
      <c r="J36" s="6" t="s">
        <v>247</v>
      </c>
      <c r="K36" s="6" t="s">
        <v>248</v>
      </c>
      <c r="L36" s="6" t="s">
        <v>249</v>
      </c>
      <c r="M36" s="6" t="s">
        <v>250</v>
      </c>
      <c r="N36" s="6" t="s">
        <v>217</v>
      </c>
      <c r="O36" s="6" t="s">
        <v>251</v>
      </c>
    </row>
    <row r="37" customFormat="false" ht="15" hidden="false" customHeight="false" outlineLevel="0" collapsed="false">
      <c r="A37" s="3" t="s">
        <v>93</v>
      </c>
      <c r="B37" s="3" t="s">
        <v>252</v>
      </c>
      <c r="C37" s="3" t="s">
        <v>30</v>
      </c>
      <c r="D37" s="3" t="s">
        <v>253</v>
      </c>
      <c r="E37" s="3" t="str">
        <f aca="false">IF(AND(A37&lt;&gt;"",B37&lt;&gt;"",D37&lt;&gt;""),UPPER(SUBSTITUTE(A37," ","-"))&amp;"-"&amp;UPPER(SUBSTITUTE(B37," ","-"))&amp;"-"&amp;UPPER(SUBSTITUTE(D37," ","-")),"")</f>
        <v>YVES-SAINT-LAURENT-BLACK-OPIUM-90ML</v>
      </c>
      <c r="F37" s="3" t="s">
        <v>254</v>
      </c>
      <c r="G37" s="4" t="n">
        <v>120</v>
      </c>
      <c r="H37" s="4" t="n">
        <v>66</v>
      </c>
      <c r="I37" s="5" t="n">
        <v>6</v>
      </c>
      <c r="J37" s="6" t="s">
        <v>247</v>
      </c>
      <c r="K37" s="6" t="s">
        <v>255</v>
      </c>
      <c r="L37" s="6" t="s">
        <v>256</v>
      </c>
      <c r="M37" s="6" t="s">
        <v>257</v>
      </c>
      <c r="N37" s="6" t="s">
        <v>217</v>
      </c>
      <c r="O37" s="6" t="s">
        <v>258</v>
      </c>
    </row>
    <row r="38" customFormat="false" ht="15" hidden="false" customHeight="false" outlineLevel="0" collapsed="false">
      <c r="A38" s="3" t="s">
        <v>93</v>
      </c>
      <c r="B38" s="3" t="s">
        <v>259</v>
      </c>
      <c r="C38" s="3" t="s">
        <v>30</v>
      </c>
      <c r="D38" s="3" t="s">
        <v>253</v>
      </c>
      <c r="E38" s="3" t="str">
        <f aca="false">IF(AND(A38&lt;&gt;"",B38&lt;&gt;"",D38&lt;&gt;""),UPPER(SUBSTITUTE(A38," ","-"))&amp;"-"&amp;UPPER(SUBSTITUTE(B38," ","-"))&amp;"-"&amp;UPPER(SUBSTITUTE(D38," ","-")),"")</f>
        <v>YVES-SAINT-LAURENT-LIBRE-90ML</v>
      </c>
      <c r="F38" s="3" t="s">
        <v>260</v>
      </c>
      <c r="G38" s="4" t="n">
        <v>120</v>
      </c>
      <c r="H38" s="4" t="n">
        <v>66</v>
      </c>
      <c r="I38" s="5" t="n">
        <v>14</v>
      </c>
      <c r="J38" s="6" t="s">
        <v>221</v>
      </c>
      <c r="K38" s="6" t="s">
        <v>261</v>
      </c>
      <c r="L38" s="6" t="s">
        <v>262</v>
      </c>
      <c r="M38" s="6" t="s">
        <v>263</v>
      </c>
      <c r="N38" s="6" t="s">
        <v>217</v>
      </c>
      <c r="O38" s="6" t="s">
        <v>264</v>
      </c>
    </row>
    <row r="39" customFormat="false" ht="15" hidden="false" customHeight="false" outlineLevel="0" collapsed="false">
      <c r="A39" s="3" t="s">
        <v>265</v>
      </c>
      <c r="B39" s="3" t="s">
        <v>266</v>
      </c>
      <c r="C39" s="3" t="s">
        <v>30</v>
      </c>
      <c r="D39" s="3" t="s">
        <v>20</v>
      </c>
      <c r="E39" s="3" t="str">
        <f aca="false">IF(AND(A39&lt;&gt;"",B39&lt;&gt;"",D39&lt;&gt;""),UPPER(SUBSTITUTE(A39," ","-"))&amp;"-"&amp;UPPER(SUBSTITUTE(B39," ","-"))&amp;"-"&amp;UPPER(SUBSTITUTE(D39," ","-")),"")</f>
        <v>VIKTOR&amp;ROLF-FLOWERBOMB-100ML</v>
      </c>
      <c r="F39" s="3" t="s">
        <v>267</v>
      </c>
      <c r="G39" s="4" t="n">
        <v>120</v>
      </c>
      <c r="H39" s="4" t="n">
        <v>66</v>
      </c>
      <c r="I39" s="5" t="n">
        <v>2</v>
      </c>
      <c r="J39" s="6" t="s">
        <v>221</v>
      </c>
      <c r="K39" s="6" t="s">
        <v>268</v>
      </c>
      <c r="L39" s="6" t="s">
        <v>269</v>
      </c>
      <c r="M39" s="6" t="s">
        <v>270</v>
      </c>
      <c r="N39" s="6" t="s">
        <v>217</v>
      </c>
      <c r="O39" s="6" t="s">
        <v>271</v>
      </c>
    </row>
    <row r="40" customFormat="false" ht="15" hidden="false" customHeight="false" outlineLevel="0" collapsed="false">
      <c r="A40" s="3" t="s">
        <v>151</v>
      </c>
      <c r="B40" s="3" t="s">
        <v>272</v>
      </c>
      <c r="C40" s="3" t="s">
        <v>30</v>
      </c>
      <c r="D40" s="3" t="s">
        <v>273</v>
      </c>
      <c r="E40" s="3" t="str">
        <f aca="false">IF(AND(A40&lt;&gt;"",B40&lt;&gt;"",D40&lt;&gt;""),UPPER(SUBSTITUTE(A40," ","-"))&amp;"-"&amp;UPPER(SUBSTITUTE(B40," ","-"))&amp;"-"&amp;UPPER(SUBSTITUTE(D40," ","-")),"")</f>
        <v>CAROLINA-HERRERA-GOOD-GIRL-80ML</v>
      </c>
      <c r="F40" s="3" t="s">
        <v>274</v>
      </c>
      <c r="G40" s="4" t="n">
        <v>120</v>
      </c>
      <c r="H40" s="4" t="n">
        <v>66</v>
      </c>
      <c r="I40" s="5" t="n">
        <v>14</v>
      </c>
      <c r="J40" s="6" t="s">
        <v>48</v>
      </c>
      <c r="K40" s="6" t="s">
        <v>275</v>
      </c>
      <c r="L40" s="6" t="s">
        <v>276</v>
      </c>
      <c r="M40" s="6" t="s">
        <v>277</v>
      </c>
      <c r="N40" s="6" t="s">
        <v>217</v>
      </c>
      <c r="O40" s="6" t="s">
        <v>278</v>
      </c>
    </row>
    <row r="41" customFormat="false" ht="15" hidden="false" customHeight="false" outlineLevel="0" collapsed="false">
      <c r="A41" s="3" t="s">
        <v>279</v>
      </c>
      <c r="B41" s="3" t="s">
        <v>280</v>
      </c>
      <c r="C41" s="3" t="s">
        <v>19</v>
      </c>
      <c r="D41" s="3" t="s">
        <v>20</v>
      </c>
      <c r="E41" s="3" t="str">
        <f aca="false">IF(AND(A41&lt;&gt;"",B41&lt;&gt;"",D41&lt;&gt;""),UPPER(SUBSTITUTE(A41," ","-"))&amp;"-"&amp;UPPER(SUBSTITUTE(B41," ","-"))&amp;"-"&amp;UPPER(SUBSTITUTE(D41," ","-")),"")</f>
        <v>MARC-JACOBS-DAISY-100ML</v>
      </c>
      <c r="F41" s="3" t="s">
        <v>281</v>
      </c>
      <c r="G41" s="4" t="n">
        <v>95</v>
      </c>
      <c r="H41" s="4" t="n">
        <v>52</v>
      </c>
      <c r="I41" s="5" t="n">
        <v>14</v>
      </c>
      <c r="J41" s="6" t="s">
        <v>221</v>
      </c>
      <c r="K41" s="6" t="s">
        <v>282</v>
      </c>
      <c r="L41" s="6" t="s">
        <v>283</v>
      </c>
      <c r="M41" s="6" t="s">
        <v>284</v>
      </c>
      <c r="N41" s="6" t="s">
        <v>217</v>
      </c>
      <c r="O41" s="6" t="s">
        <v>285</v>
      </c>
    </row>
    <row r="42" customFormat="false" ht="15" hidden="false" customHeight="false" outlineLevel="0" collapsed="false">
      <c r="A42" s="3" t="s">
        <v>45</v>
      </c>
      <c r="B42" s="3" t="s">
        <v>286</v>
      </c>
      <c r="C42" s="3" t="s">
        <v>30</v>
      </c>
      <c r="D42" s="3" t="s">
        <v>273</v>
      </c>
      <c r="E42" s="3" t="str">
        <f aca="false">IF(AND(A42&lt;&gt;"",B42&lt;&gt;"",D42&lt;&gt;""),UPPER(SUBSTITUTE(A42," ","-"))&amp;"-"&amp;UPPER(SUBSTITUTE(B42," ","-"))&amp;"-"&amp;UPPER(SUBSTITUTE(D42," ","-")),"")</f>
        <v>PACO-RABANNE-LADY-MILLION-80ML</v>
      </c>
      <c r="F42" s="3" t="s">
        <v>287</v>
      </c>
      <c r="G42" s="4" t="n">
        <v>95</v>
      </c>
      <c r="H42" s="4" t="n">
        <v>52</v>
      </c>
      <c r="I42" s="5" t="n">
        <v>4</v>
      </c>
      <c r="J42" s="6" t="s">
        <v>221</v>
      </c>
      <c r="K42" s="6" t="s">
        <v>288</v>
      </c>
      <c r="L42" s="6" t="s">
        <v>289</v>
      </c>
      <c r="M42" s="6" t="s">
        <v>290</v>
      </c>
      <c r="N42" s="6" t="s">
        <v>217</v>
      </c>
      <c r="O42" s="6" t="s">
        <v>291</v>
      </c>
    </row>
    <row r="43" customFormat="false" ht="15" hidden="false" customHeight="false" outlineLevel="0" collapsed="false">
      <c r="A43" s="3" t="s">
        <v>78</v>
      </c>
      <c r="B43" s="3" t="s">
        <v>292</v>
      </c>
      <c r="C43" s="3" t="s">
        <v>30</v>
      </c>
      <c r="D43" s="3" t="s">
        <v>20</v>
      </c>
      <c r="E43" s="3" t="str">
        <f aca="false">IF(AND(A43&lt;&gt;"",B43&lt;&gt;"",D43&lt;&gt;""),UPPER(SUBSTITUTE(A43," ","-"))&amp;"-"&amp;UPPER(SUBSTITUTE(B43," ","-"))&amp;"-"&amp;UPPER(SUBSTITUTE(D43," ","-")),"")</f>
        <v>GIORGIO-ARMANI-SÌ-100ML</v>
      </c>
      <c r="F43" s="3" t="s">
        <v>293</v>
      </c>
      <c r="G43" s="4" t="n">
        <v>110</v>
      </c>
      <c r="H43" s="4" t="n">
        <v>61</v>
      </c>
      <c r="I43" s="5" t="n">
        <v>13</v>
      </c>
      <c r="J43" s="6" t="s">
        <v>40</v>
      </c>
      <c r="K43" s="6" t="s">
        <v>294</v>
      </c>
      <c r="L43" s="6" t="s">
        <v>295</v>
      </c>
      <c r="M43" s="6" t="s">
        <v>296</v>
      </c>
      <c r="N43" s="6" t="s">
        <v>217</v>
      </c>
      <c r="O43" s="6" t="s">
        <v>297</v>
      </c>
    </row>
    <row r="44" customFormat="false" ht="15" hidden="false" customHeight="false" outlineLevel="0" collapsed="false">
      <c r="A44" s="3" t="s">
        <v>59</v>
      </c>
      <c r="B44" s="3" t="s">
        <v>298</v>
      </c>
      <c r="C44" s="3" t="s">
        <v>19</v>
      </c>
      <c r="D44" s="3" t="s">
        <v>253</v>
      </c>
      <c r="E44" s="3" t="str">
        <f aca="false">IF(AND(A44&lt;&gt;"",B44&lt;&gt;"",D44&lt;&gt;""),UPPER(SUBSTITUTE(A44," ","-"))&amp;"-"&amp;UPPER(SUBSTITUTE(B44," ","-"))&amp;"-"&amp;UPPER(SUBSTITUTE(D44," ","-")),"")</f>
        <v>VERSACE-BRIGHT-CRYSTAL-90ML</v>
      </c>
      <c r="F44" s="3" t="s">
        <v>299</v>
      </c>
      <c r="G44" s="4" t="n">
        <v>75</v>
      </c>
      <c r="H44" s="4" t="n">
        <v>41</v>
      </c>
      <c r="I44" s="5" t="n">
        <v>8</v>
      </c>
      <c r="J44" s="6" t="s">
        <v>221</v>
      </c>
      <c r="K44" s="6" t="s">
        <v>300</v>
      </c>
      <c r="L44" s="6" t="s">
        <v>301</v>
      </c>
      <c r="M44" s="6" t="s">
        <v>302</v>
      </c>
      <c r="N44" s="6" t="s">
        <v>217</v>
      </c>
      <c r="O44" s="6" t="s">
        <v>303</v>
      </c>
    </row>
    <row r="45" customFormat="false" ht="15" hidden="false" customHeight="false" outlineLevel="0" collapsed="false">
      <c r="A45" s="3" t="s">
        <v>164</v>
      </c>
      <c r="B45" s="3" t="s">
        <v>304</v>
      </c>
      <c r="C45" s="3" t="s">
        <v>19</v>
      </c>
      <c r="D45" s="3" t="s">
        <v>20</v>
      </c>
      <c r="E45" s="3" t="str">
        <f aca="false">IF(AND(A45&lt;&gt;"",B45&lt;&gt;"",D45&lt;&gt;""),UPPER(SUBSTITUTE(A45," ","-"))&amp;"-"&amp;UPPER(SUBSTITUTE(B45," ","-"))&amp;"-"&amp;UPPER(SUBSTITUTE(D45," ","-")),"")</f>
        <v>DOLCE-&amp;-GABBANA-LIGHT-BLUE-100ML</v>
      </c>
      <c r="F45" s="3" t="s">
        <v>305</v>
      </c>
      <c r="G45" s="4" t="n">
        <v>80</v>
      </c>
      <c r="H45" s="4" t="n">
        <v>44</v>
      </c>
      <c r="I45" s="5" t="n">
        <v>7</v>
      </c>
      <c r="J45" s="6" t="s">
        <v>140</v>
      </c>
      <c r="K45" s="6" t="s">
        <v>306</v>
      </c>
      <c r="L45" s="6" t="s">
        <v>307</v>
      </c>
      <c r="M45" s="6" t="s">
        <v>308</v>
      </c>
      <c r="N45" s="6" t="s">
        <v>217</v>
      </c>
      <c r="O45" s="6" t="s">
        <v>309</v>
      </c>
    </row>
    <row r="46" customFormat="false" ht="15" hidden="false" customHeight="false" outlineLevel="0" collapsed="false">
      <c r="A46" s="3" t="s">
        <v>310</v>
      </c>
      <c r="B46" s="3" t="s">
        <v>311</v>
      </c>
      <c r="C46" s="3" t="s">
        <v>30</v>
      </c>
      <c r="D46" s="3" t="s">
        <v>253</v>
      </c>
      <c r="E46" s="3" t="str">
        <f aca="false">IF(AND(A46&lt;&gt;"",B46&lt;&gt;"",D46&lt;&gt;""),UPPER(SUBSTITUTE(A46," ","-"))&amp;"-"&amp;UPPER(SUBSTITUTE(B46," ","-"))&amp;"-"&amp;UPPER(SUBSTITUTE(D46," ","-")),"")</f>
        <v>MUGLER-ALIEN-90ML</v>
      </c>
      <c r="F46" s="3" t="s">
        <v>312</v>
      </c>
      <c r="G46" s="4" t="n">
        <v>120</v>
      </c>
      <c r="H46" s="4" t="n">
        <v>66</v>
      </c>
      <c r="I46" s="5" t="n">
        <v>6</v>
      </c>
      <c r="J46" s="6" t="s">
        <v>48</v>
      </c>
      <c r="K46" s="6" t="s">
        <v>313</v>
      </c>
      <c r="L46" s="6" t="s">
        <v>314</v>
      </c>
      <c r="M46" s="6" t="s">
        <v>315</v>
      </c>
      <c r="N46" s="6" t="s">
        <v>217</v>
      </c>
      <c r="O46" s="6" t="s">
        <v>316</v>
      </c>
    </row>
    <row r="47" customFormat="false" ht="15" hidden="false" customHeight="false" outlineLevel="0" collapsed="false">
      <c r="A47" s="3" t="s">
        <v>310</v>
      </c>
      <c r="B47" s="3" t="s">
        <v>317</v>
      </c>
      <c r="C47" s="3" t="s">
        <v>30</v>
      </c>
      <c r="D47" s="3" t="s">
        <v>20</v>
      </c>
      <c r="E47" s="3" t="str">
        <f aca="false">IF(AND(A47&lt;&gt;"",B47&lt;&gt;"",D47&lt;&gt;""),UPPER(SUBSTITUTE(A47," ","-"))&amp;"-"&amp;UPPER(SUBSTITUTE(B47," ","-"))&amp;"-"&amp;UPPER(SUBSTITUTE(D47," ","-")),"")</f>
        <v>MUGLER-ANGEL-100ML</v>
      </c>
      <c r="F47" s="3" t="s">
        <v>318</v>
      </c>
      <c r="G47" s="4" t="n">
        <v>130</v>
      </c>
      <c r="H47" s="4" t="n">
        <v>72</v>
      </c>
      <c r="I47" s="5" t="n">
        <v>4</v>
      </c>
      <c r="J47" s="6" t="s">
        <v>247</v>
      </c>
      <c r="K47" s="6" t="s">
        <v>319</v>
      </c>
      <c r="L47" s="6" t="s">
        <v>320</v>
      </c>
      <c r="M47" s="6" t="s">
        <v>321</v>
      </c>
      <c r="N47" s="6" t="s">
        <v>217</v>
      </c>
      <c r="O47" s="6" t="s">
        <v>322</v>
      </c>
    </row>
    <row r="48" customFormat="false" ht="15" hidden="false" customHeight="false" outlineLevel="0" collapsed="false">
      <c r="A48" s="3" t="s">
        <v>244</v>
      </c>
      <c r="B48" s="3" t="s">
        <v>323</v>
      </c>
      <c r="C48" s="3" t="s">
        <v>30</v>
      </c>
      <c r="D48" s="3" t="s">
        <v>87</v>
      </c>
      <c r="E48" s="3" t="str">
        <f aca="false">IF(AND(A48&lt;&gt;"",B48&lt;&gt;"",D48&lt;&gt;""),UPPER(SUBSTITUTE(A48," ","-"))&amp;"-"&amp;UPPER(SUBSTITUTE(B48," ","-"))&amp;"-"&amp;UPPER(SUBSTITUTE(D48," ","-")),"")</f>
        <v>LANCÔME-IDÔLE-75ML</v>
      </c>
      <c r="F48" s="3" t="s">
        <v>324</v>
      </c>
      <c r="G48" s="4" t="n">
        <v>110</v>
      </c>
      <c r="H48" s="4" t="n">
        <v>61</v>
      </c>
      <c r="I48" s="5" t="n">
        <v>5</v>
      </c>
      <c r="J48" s="6" t="s">
        <v>221</v>
      </c>
      <c r="K48" s="6" t="s">
        <v>325</v>
      </c>
      <c r="L48" s="6" t="s">
        <v>326</v>
      </c>
      <c r="M48" s="6" t="s">
        <v>327</v>
      </c>
      <c r="N48" s="6" t="s">
        <v>217</v>
      </c>
      <c r="O48" s="6" t="s">
        <v>328</v>
      </c>
    </row>
    <row r="49" customFormat="false" ht="15" hidden="false" customHeight="false" outlineLevel="0" collapsed="false">
      <c r="A49" s="3" t="s">
        <v>119</v>
      </c>
      <c r="B49" s="3" t="s">
        <v>329</v>
      </c>
      <c r="C49" s="3" t="s">
        <v>30</v>
      </c>
      <c r="D49" s="3" t="s">
        <v>253</v>
      </c>
      <c r="E49" s="3" t="str">
        <f aca="false">IF(AND(A49&lt;&gt;"",B49&lt;&gt;"",D49&lt;&gt;""),UPPER(SUBSTITUTE(A49," ","-"))&amp;"-"&amp;UPPER(SUBSTITUTE(B49," ","-"))&amp;"-"&amp;UPPER(SUBSTITUTE(D49," ","-")),"")</f>
        <v>PRADA-PARADOXE-90ML</v>
      </c>
      <c r="F49" s="3" t="s">
        <v>330</v>
      </c>
      <c r="G49" s="4" t="n">
        <v>120</v>
      </c>
      <c r="H49" s="4" t="n">
        <v>66</v>
      </c>
      <c r="I49" s="5" t="n">
        <v>14</v>
      </c>
      <c r="J49" s="6" t="s">
        <v>221</v>
      </c>
      <c r="K49" s="6" t="s">
        <v>331</v>
      </c>
      <c r="L49" s="6" t="s">
        <v>332</v>
      </c>
      <c r="M49" s="6" t="s">
        <v>333</v>
      </c>
      <c r="N49" s="6" t="s">
        <v>217</v>
      </c>
      <c r="O49" s="6" t="s">
        <v>334</v>
      </c>
    </row>
    <row r="50" customFormat="false" ht="15" hidden="false" customHeight="false" outlineLevel="0" collapsed="false">
      <c r="A50" s="3" t="s">
        <v>335</v>
      </c>
      <c r="B50" s="3" t="s">
        <v>336</v>
      </c>
      <c r="C50" s="3" t="s">
        <v>30</v>
      </c>
      <c r="D50" s="3" t="s">
        <v>20</v>
      </c>
      <c r="E50" s="3" t="str">
        <f aca="false">IF(AND(A50&lt;&gt;"",B50&lt;&gt;"",D50&lt;&gt;""),UPPER(SUBSTITUTE(A50," ","-"))&amp;"-"&amp;UPPER(SUBSTITUTE(B50," ","-"))&amp;"-"&amp;UPPER(SUBSTITUTE(D50," ","-")),"")</f>
        <v>BURBERRY-HER-100ML</v>
      </c>
      <c r="F50" s="3" t="s">
        <v>337</v>
      </c>
      <c r="G50" s="4" t="n">
        <v>120</v>
      </c>
      <c r="H50" s="4" t="n">
        <v>66</v>
      </c>
      <c r="I50" s="5" t="n">
        <v>7</v>
      </c>
      <c r="J50" s="6" t="s">
        <v>247</v>
      </c>
      <c r="K50" s="6" t="s">
        <v>338</v>
      </c>
      <c r="L50" s="6" t="s">
        <v>339</v>
      </c>
      <c r="M50" s="6" t="s">
        <v>340</v>
      </c>
      <c r="N50" s="6" t="s">
        <v>217</v>
      </c>
      <c r="O50" s="6" t="s">
        <v>341</v>
      </c>
    </row>
    <row r="51" customFormat="false" ht="15" hidden="false" customHeight="false" outlineLevel="0" collapsed="false">
      <c r="A51" s="3" t="s">
        <v>342</v>
      </c>
      <c r="B51" s="3" t="s">
        <v>343</v>
      </c>
      <c r="C51" s="3" t="s">
        <v>30</v>
      </c>
      <c r="D51" s="3" t="s">
        <v>20</v>
      </c>
      <c r="E51" s="3" t="str">
        <f aca="false">IF(AND(A51&lt;&gt;"",B51&lt;&gt;"",D51&lt;&gt;""),UPPER(SUBSTITUTE(A51," ","-"))&amp;"-"&amp;UPPER(SUBSTITUTE(B51," ","-"))&amp;"-"&amp;UPPER(SUBSTITUTE(D51," ","-")),"")</f>
        <v>GUCCI-BLOOM-100ML</v>
      </c>
      <c r="F51" s="3" t="s">
        <v>344</v>
      </c>
      <c r="G51" s="4" t="n">
        <v>125</v>
      </c>
      <c r="H51" s="4" t="n">
        <v>69</v>
      </c>
      <c r="I51" s="5" t="n">
        <v>3</v>
      </c>
      <c r="J51" s="6" t="s">
        <v>221</v>
      </c>
      <c r="K51" s="6" t="s">
        <v>345</v>
      </c>
      <c r="L51" s="6" t="s">
        <v>346</v>
      </c>
      <c r="M51" s="6" t="s">
        <v>347</v>
      </c>
      <c r="N51" s="6" t="s">
        <v>217</v>
      </c>
      <c r="O51" s="6" t="s">
        <v>348</v>
      </c>
    </row>
    <row r="52" customFormat="false" ht="15" hidden="false" customHeight="false" outlineLevel="0" collapsed="false">
      <c r="A52" s="3" t="s">
        <v>342</v>
      </c>
      <c r="B52" s="3" t="s">
        <v>349</v>
      </c>
      <c r="C52" s="3" t="s">
        <v>30</v>
      </c>
      <c r="D52" s="3" t="s">
        <v>20</v>
      </c>
      <c r="E52" s="3" t="str">
        <f aca="false">IF(AND(A52&lt;&gt;"",B52&lt;&gt;"",D52&lt;&gt;""),UPPER(SUBSTITUTE(A52," ","-"))&amp;"-"&amp;UPPER(SUBSTITUTE(B52," ","-"))&amp;"-"&amp;UPPER(SUBSTITUTE(D52," ","-")),"")</f>
        <v>GUCCI-FLORA-GORGEOUS-GARDENIA-100ML</v>
      </c>
      <c r="F52" s="3" t="s">
        <v>350</v>
      </c>
      <c r="G52" s="4" t="n">
        <v>130</v>
      </c>
      <c r="H52" s="4" t="n">
        <v>72</v>
      </c>
      <c r="I52" s="5" t="n">
        <v>3</v>
      </c>
      <c r="J52" s="6" t="s">
        <v>221</v>
      </c>
      <c r="K52" s="6" t="s">
        <v>351</v>
      </c>
      <c r="L52" s="6" t="s">
        <v>352</v>
      </c>
      <c r="M52" s="6" t="s">
        <v>353</v>
      </c>
      <c r="N52" s="6" t="s">
        <v>217</v>
      </c>
      <c r="O52" s="6" t="s">
        <v>354</v>
      </c>
    </row>
    <row r="53" customFormat="false" ht="15" hidden="false" customHeight="false" outlineLevel="0" collapsed="false">
      <c r="A53" s="3" t="s">
        <v>106</v>
      </c>
      <c r="B53" s="3" t="s">
        <v>355</v>
      </c>
      <c r="C53" s="3" t="s">
        <v>30</v>
      </c>
      <c r="D53" s="3" t="s">
        <v>273</v>
      </c>
      <c r="E53" s="3" t="str">
        <f aca="false">IF(AND(A53&lt;&gt;"",B53&lt;&gt;"",D53&lt;&gt;""),UPPER(SUBSTITUTE(A53," ","-"))&amp;"-"&amp;UPPER(SUBSTITUTE(B53," ","-"))&amp;"-"&amp;UPPER(SUBSTITUTE(D53," ","-")),"")</f>
        <v>JEAN-PAUL-GAULTIER-SCANDAL-80ML</v>
      </c>
      <c r="F53" s="3" t="s">
        <v>356</v>
      </c>
      <c r="G53" s="4" t="n">
        <v>105</v>
      </c>
      <c r="H53" s="4" t="n">
        <v>58</v>
      </c>
      <c r="I53" s="5" t="n">
        <v>8</v>
      </c>
      <c r="J53" s="6" t="s">
        <v>247</v>
      </c>
      <c r="K53" s="6" t="s">
        <v>240</v>
      </c>
      <c r="L53" s="6" t="s">
        <v>357</v>
      </c>
      <c r="M53" s="6" t="s">
        <v>358</v>
      </c>
      <c r="N53" s="6" t="s">
        <v>217</v>
      </c>
      <c r="O53" s="6" t="s">
        <v>359</v>
      </c>
    </row>
    <row r="54" customFormat="false" ht="15" hidden="false" customHeight="false" outlineLevel="0" collapsed="false">
      <c r="A54" s="3" t="s">
        <v>360</v>
      </c>
      <c r="B54" s="3" t="s">
        <v>361</v>
      </c>
      <c r="C54" s="3" t="s">
        <v>30</v>
      </c>
      <c r="D54" s="3" t="s">
        <v>20</v>
      </c>
      <c r="E54" s="3" t="str">
        <f aca="false">IF(AND(A54&lt;&gt;"",B54&lt;&gt;"",D54&lt;&gt;""),UPPER(SUBSTITUTE(A54," ","-"))&amp;"-"&amp;UPPER(SUBSTITUTE(B54," ","-"))&amp;"-"&amp;UPPER(SUBSTITUTE(D54," ","-")),"")</f>
        <v>NARCISO-RODRIGUEZ-FOR-HER-100ML</v>
      </c>
      <c r="F54" s="3" t="s">
        <v>362</v>
      </c>
      <c r="G54" s="4" t="n">
        <v>120</v>
      </c>
      <c r="H54" s="4" t="n">
        <v>66</v>
      </c>
      <c r="I54" s="5" t="n">
        <v>3</v>
      </c>
      <c r="J54" s="6" t="s">
        <v>40</v>
      </c>
      <c r="K54" s="6" t="s">
        <v>363</v>
      </c>
      <c r="L54" s="6" t="s">
        <v>364</v>
      </c>
      <c r="M54" s="6" t="s">
        <v>365</v>
      </c>
      <c r="N54" s="6" t="s">
        <v>217</v>
      </c>
      <c r="O54" s="6" t="s">
        <v>366</v>
      </c>
    </row>
    <row r="55" customFormat="false" ht="15" hidden="false" customHeight="false" outlineLevel="0" collapsed="false">
      <c r="A55" s="3" t="s">
        <v>367</v>
      </c>
      <c r="B55" s="3" t="s">
        <v>367</v>
      </c>
      <c r="C55" s="3" t="s">
        <v>30</v>
      </c>
      <c r="D55" s="3" t="s">
        <v>87</v>
      </c>
      <c r="E55" s="3" t="str">
        <f aca="false">IF(AND(A55&lt;&gt;"",B55&lt;&gt;"",D55&lt;&gt;""),UPPER(SUBSTITUTE(A55," ","-"))&amp;"-"&amp;UPPER(SUBSTITUTE(B55," ","-"))&amp;"-"&amp;UPPER(SUBSTITUTE(D55," ","-")),"")</f>
        <v>CHLOÉ-CHLOÉ-75ML</v>
      </c>
      <c r="F55" s="3" t="s">
        <v>368</v>
      </c>
      <c r="G55" s="4" t="n">
        <v>110</v>
      </c>
      <c r="H55" s="4" t="n">
        <v>61</v>
      </c>
      <c r="I55" s="5" t="n">
        <v>7</v>
      </c>
      <c r="J55" s="6" t="s">
        <v>221</v>
      </c>
      <c r="K55" s="6" t="s">
        <v>369</v>
      </c>
      <c r="L55" s="6" t="s">
        <v>370</v>
      </c>
      <c r="M55" s="6" t="s">
        <v>371</v>
      </c>
      <c r="N55" s="6" t="s">
        <v>217</v>
      </c>
      <c r="O55" s="6" t="s">
        <v>372</v>
      </c>
    </row>
    <row r="56" customFormat="false" ht="15" hidden="false" customHeight="false" outlineLevel="0" collapsed="false">
      <c r="A56" s="3" t="s">
        <v>373</v>
      </c>
      <c r="B56" s="3" t="s">
        <v>374</v>
      </c>
      <c r="C56" s="3" t="s">
        <v>30</v>
      </c>
      <c r="D56" s="3" t="s">
        <v>20</v>
      </c>
      <c r="E56" s="3" t="str">
        <f aca="false">IF(AND(A56&lt;&gt;"",B56&lt;&gt;"",D56&lt;&gt;""),UPPER(SUBSTITUTE(A56," ","-"))&amp;"-"&amp;UPPER(SUBSTITUTE(B56," ","-"))&amp;"-"&amp;UPPER(SUBSTITUTE(D56," ","-")),"")</f>
        <v>ARIANA-GRANDE-CLOUD-100ML</v>
      </c>
      <c r="F56" s="3" t="s">
        <v>375</v>
      </c>
      <c r="G56" s="4" t="n">
        <v>65</v>
      </c>
      <c r="H56" s="4" t="n">
        <v>36</v>
      </c>
      <c r="I56" s="5" t="n">
        <v>7</v>
      </c>
      <c r="J56" s="6" t="s">
        <v>247</v>
      </c>
      <c r="K56" s="6" t="s">
        <v>376</v>
      </c>
      <c r="L56" s="6" t="s">
        <v>377</v>
      </c>
      <c r="M56" s="6" t="s">
        <v>378</v>
      </c>
      <c r="N56" s="6" t="s">
        <v>217</v>
      </c>
      <c r="O56" s="6" t="s">
        <v>379</v>
      </c>
    </row>
    <row r="57" customFormat="false" ht="15" hidden="false" customHeight="false" outlineLevel="0" collapsed="false">
      <c r="A57" s="3" t="s">
        <v>380</v>
      </c>
      <c r="B57" s="3" t="s">
        <v>381</v>
      </c>
      <c r="C57" s="3" t="s">
        <v>30</v>
      </c>
      <c r="D57" s="3" t="s">
        <v>179</v>
      </c>
      <c r="E57" s="3" t="str">
        <f aca="false">IF(AND(A57&lt;&gt;"",B57&lt;&gt;"",D57&lt;&gt;""),UPPER(SUBSTITUTE(A57," ","-"))&amp;"-"&amp;UPPER(SUBSTITUTE(B57," ","-"))&amp;"-"&amp;UPPER(SUBSTITUTE(D57," ","-")),"")</f>
        <v>KAYALI-VANILLA-28-50ML</v>
      </c>
      <c r="F57" s="3" t="s">
        <v>382</v>
      </c>
      <c r="G57" s="4" t="n">
        <v>118</v>
      </c>
      <c r="H57" s="4" t="n">
        <v>65</v>
      </c>
      <c r="I57" s="5" t="n">
        <v>11</v>
      </c>
      <c r="J57" s="6" t="s">
        <v>247</v>
      </c>
      <c r="K57" s="6" t="s">
        <v>383</v>
      </c>
      <c r="L57" s="6" t="s">
        <v>384</v>
      </c>
      <c r="M57" s="6" t="s">
        <v>385</v>
      </c>
      <c r="N57" s="6" t="s">
        <v>217</v>
      </c>
      <c r="O57" s="6" t="s">
        <v>386</v>
      </c>
    </row>
    <row r="58" customFormat="false" ht="15" hidden="false" customHeight="false" outlineLevel="0" collapsed="false">
      <c r="A58" s="3" t="s">
        <v>387</v>
      </c>
      <c r="B58" s="3" t="s">
        <v>388</v>
      </c>
      <c r="C58" s="3" t="s">
        <v>30</v>
      </c>
      <c r="D58" s="3" t="s">
        <v>389</v>
      </c>
      <c r="E58" s="3" t="str">
        <f aca="false">IF(AND(A58&lt;&gt;"",B58&lt;&gt;"",D58&lt;&gt;""),UPPER(SUBSTITUTE(A58," ","-"))&amp;"-"&amp;UPPER(SUBSTITUTE(B58," ","-"))&amp;"-"&amp;UPPER(SUBSTITUTE(D58," ","-")),"")</f>
        <v>MAISON-FRANCIS-KURKDJIAN-BACCARAT-ROUGE-540-70ML</v>
      </c>
      <c r="F58" s="3" t="s">
        <v>390</v>
      </c>
      <c r="G58" s="4" t="n">
        <v>325</v>
      </c>
      <c r="H58" s="4" t="n">
        <v>179</v>
      </c>
      <c r="I58" s="5" t="n">
        <v>6</v>
      </c>
      <c r="J58" s="6" t="s">
        <v>48</v>
      </c>
      <c r="K58" s="6" t="s">
        <v>391</v>
      </c>
      <c r="L58" s="6" t="s">
        <v>392</v>
      </c>
      <c r="M58" s="6" t="s">
        <v>393</v>
      </c>
      <c r="N58" s="6" t="s">
        <v>184</v>
      </c>
      <c r="O58" s="6" t="s">
        <v>394</v>
      </c>
    </row>
    <row r="59" customFormat="false" ht="15" hidden="false" customHeight="false" outlineLevel="0" collapsed="false">
      <c r="A59" s="3" t="s">
        <v>395</v>
      </c>
      <c r="B59" s="3" t="s">
        <v>396</v>
      </c>
      <c r="C59" s="3" t="s">
        <v>30</v>
      </c>
      <c r="D59" s="3" t="s">
        <v>179</v>
      </c>
      <c r="E59" s="3" t="str">
        <f aca="false">IF(AND(A59&lt;&gt;"",B59&lt;&gt;"",D59&lt;&gt;""),UPPER(SUBSTITUTE(A59," ","-"))&amp;"-"&amp;UPPER(SUBSTITUTE(B59," ","-"))&amp;"-"&amp;UPPER(SUBSTITUTE(D59," ","-")),"")</f>
        <v>LE-LABO-SANTAL-33-50ML</v>
      </c>
      <c r="F59" s="3" t="s">
        <v>397</v>
      </c>
      <c r="G59" s="4" t="n">
        <v>220</v>
      </c>
      <c r="H59" s="4" t="n">
        <v>121</v>
      </c>
      <c r="I59" s="5" t="n">
        <v>14</v>
      </c>
      <c r="J59" s="6" t="s">
        <v>32</v>
      </c>
      <c r="K59" s="6" t="s">
        <v>398</v>
      </c>
      <c r="L59" s="6" t="s">
        <v>399</v>
      </c>
      <c r="M59" s="6" t="s">
        <v>400</v>
      </c>
      <c r="N59" s="6" t="s">
        <v>184</v>
      </c>
      <c r="O59" s="6" t="s">
        <v>401</v>
      </c>
    </row>
    <row r="60" customFormat="false" ht="15" hidden="false" customHeight="false" outlineLevel="0" collapsed="false">
      <c r="A60" s="3" t="s">
        <v>402</v>
      </c>
      <c r="B60" s="3" t="s">
        <v>403</v>
      </c>
      <c r="C60" s="3" t="s">
        <v>30</v>
      </c>
      <c r="D60" s="3" t="s">
        <v>20</v>
      </c>
      <c r="E60" s="3" t="str">
        <f aca="false">IF(AND(A60&lt;&gt;"",B60&lt;&gt;"",D60&lt;&gt;""),UPPER(SUBSTITUTE(A60," ","-"))&amp;"-"&amp;UPPER(SUBSTITUTE(B60," ","-"))&amp;"-"&amp;UPPER(SUBSTITUTE(D60," ","-")),"")</f>
        <v>BYREDO-GYPSY-WATER-100ML</v>
      </c>
      <c r="F60" s="3" t="s">
        <v>404</v>
      </c>
      <c r="G60" s="4" t="n">
        <v>196</v>
      </c>
      <c r="H60" s="4" t="n">
        <v>108</v>
      </c>
      <c r="I60" s="5" t="n">
        <v>2</v>
      </c>
      <c r="J60" s="6" t="s">
        <v>32</v>
      </c>
      <c r="K60" s="6" t="s">
        <v>405</v>
      </c>
      <c r="L60" s="6" t="s">
        <v>406</v>
      </c>
      <c r="M60" s="6" t="s">
        <v>407</v>
      </c>
      <c r="N60" s="6" t="s">
        <v>184</v>
      </c>
      <c r="O60" s="6" t="s">
        <v>408</v>
      </c>
    </row>
    <row r="61" customFormat="false" ht="15" hidden="false" customHeight="false" outlineLevel="0" collapsed="false">
      <c r="A61" s="3" t="s">
        <v>409</v>
      </c>
      <c r="B61" s="3" t="s">
        <v>410</v>
      </c>
      <c r="C61" s="3" t="s">
        <v>411</v>
      </c>
      <c r="D61" s="3" t="s">
        <v>20</v>
      </c>
      <c r="E61" s="3" t="str">
        <f aca="false">IF(AND(A61&lt;&gt;"",B61&lt;&gt;"",D61&lt;&gt;""),UPPER(SUBSTITUTE(A61," ","-"))&amp;"-"&amp;UPPER(SUBSTITUTE(B61," ","-"))&amp;"-"&amp;UPPER(SUBSTITUTE(D61," ","-")),"")</f>
        <v>JO-MALONE-WOOD-SAGE-&amp;-SEA-SALT-100ML</v>
      </c>
      <c r="F61" s="3" t="s">
        <v>412</v>
      </c>
      <c r="G61" s="4" t="n">
        <v>150</v>
      </c>
      <c r="H61" s="4" t="n">
        <v>82</v>
      </c>
      <c r="I61" s="5" t="n">
        <v>13</v>
      </c>
      <c r="J61" s="6" t="s">
        <v>81</v>
      </c>
      <c r="K61" s="6" t="s">
        <v>413</v>
      </c>
      <c r="L61" s="6" t="s">
        <v>414</v>
      </c>
      <c r="M61" s="6" t="s">
        <v>415</v>
      </c>
      <c r="N61" s="6" t="s">
        <v>184</v>
      </c>
      <c r="O61" s="6" t="s">
        <v>416</v>
      </c>
    </row>
    <row r="62" customFormat="false" ht="15" hidden="false" customHeight="false" outlineLevel="0" collapsed="false">
      <c r="A62" s="3" t="s">
        <v>409</v>
      </c>
      <c r="B62" s="3" t="s">
        <v>417</v>
      </c>
      <c r="C62" s="3" t="s">
        <v>411</v>
      </c>
      <c r="D62" s="3" t="s">
        <v>20</v>
      </c>
      <c r="E62" s="3" t="str">
        <f aca="false">IF(AND(A62&lt;&gt;"",B62&lt;&gt;"",D62&lt;&gt;""),UPPER(SUBSTITUTE(A62," ","-"))&amp;"-"&amp;UPPER(SUBSTITUTE(B62," ","-"))&amp;"-"&amp;UPPER(SUBSTITUTE(D62," ","-")),"")</f>
        <v>JO-MALONE-ENGLISH-PEAR-&amp;-FREESIA-100ML</v>
      </c>
      <c r="F62" s="3" t="s">
        <v>418</v>
      </c>
      <c r="G62" s="4" t="n">
        <v>150</v>
      </c>
      <c r="H62" s="4" t="n">
        <v>82</v>
      </c>
      <c r="I62" s="5" t="n">
        <v>9</v>
      </c>
      <c r="J62" s="6" t="s">
        <v>221</v>
      </c>
      <c r="K62" s="6" t="s">
        <v>419</v>
      </c>
      <c r="L62" s="6" t="s">
        <v>420</v>
      </c>
      <c r="M62" s="6" t="s">
        <v>421</v>
      </c>
      <c r="N62" s="6" t="s">
        <v>184</v>
      </c>
      <c r="O62" s="6" t="s">
        <v>422</v>
      </c>
    </row>
    <row r="63" customFormat="false" ht="15" hidden="false" customHeight="false" outlineLevel="0" collapsed="false">
      <c r="A63" s="3" t="s">
        <v>423</v>
      </c>
      <c r="B63" s="3" t="s">
        <v>424</v>
      </c>
      <c r="C63" s="3" t="s">
        <v>19</v>
      </c>
      <c r="D63" s="3" t="s">
        <v>20</v>
      </c>
      <c r="E63" s="3" t="str">
        <f aca="false">IF(AND(A63&lt;&gt;"",B63&lt;&gt;"",D63&lt;&gt;""),UPPER(SUBSTITUTE(A63," ","-"))&amp;"-"&amp;UPPER(SUBSTITUTE(B63," ","-"))&amp;"-"&amp;UPPER(SUBSTITUTE(D63," ","-")),"")</f>
        <v>MAISON-MARGIELA-REPLICA-JAZZ-CLUB-100ML</v>
      </c>
      <c r="F63" s="3" t="s">
        <v>425</v>
      </c>
      <c r="G63" s="4" t="n">
        <v>150</v>
      </c>
      <c r="H63" s="4" t="n">
        <v>82</v>
      </c>
      <c r="I63" s="5" t="n">
        <v>10</v>
      </c>
      <c r="J63" s="6" t="s">
        <v>48</v>
      </c>
      <c r="K63" s="6" t="s">
        <v>426</v>
      </c>
      <c r="L63" s="6" t="s">
        <v>427</v>
      </c>
      <c r="M63" s="6" t="s">
        <v>428</v>
      </c>
      <c r="N63" s="6" t="s">
        <v>184</v>
      </c>
      <c r="O63" s="6" t="s">
        <v>429</v>
      </c>
    </row>
    <row r="64" customFormat="false" ht="15" hidden="false" customHeight="false" outlineLevel="0" collapsed="false">
      <c r="A64" s="3" t="s">
        <v>423</v>
      </c>
      <c r="B64" s="3" t="s">
        <v>430</v>
      </c>
      <c r="C64" s="3" t="s">
        <v>19</v>
      </c>
      <c r="D64" s="3" t="s">
        <v>20</v>
      </c>
      <c r="E64" s="3" t="str">
        <f aca="false">IF(AND(A64&lt;&gt;"",B64&lt;&gt;"",D64&lt;&gt;""),UPPER(SUBSTITUTE(A64," ","-"))&amp;"-"&amp;UPPER(SUBSTITUTE(B64," ","-"))&amp;"-"&amp;UPPER(SUBSTITUTE(D64," ","-")),"")</f>
        <v>MAISON-MARGIELA-REPLICA-BY-THE-FIREPLACE-100ML</v>
      </c>
      <c r="F64" s="3" t="s">
        <v>431</v>
      </c>
      <c r="G64" s="4" t="n">
        <v>150</v>
      </c>
      <c r="H64" s="4" t="n">
        <v>82</v>
      </c>
      <c r="I64" s="5" t="n">
        <v>3</v>
      </c>
      <c r="J64" s="6" t="s">
        <v>247</v>
      </c>
      <c r="K64" s="6" t="s">
        <v>432</v>
      </c>
      <c r="L64" s="6" t="s">
        <v>433</v>
      </c>
      <c r="M64" s="6" t="s">
        <v>434</v>
      </c>
      <c r="N64" s="6" t="s">
        <v>184</v>
      </c>
      <c r="O64" s="6" t="s">
        <v>435</v>
      </c>
    </row>
    <row r="65" customFormat="false" ht="15" hidden="false" customHeight="false" outlineLevel="0" collapsed="false">
      <c r="A65" s="3" t="s">
        <v>37</v>
      </c>
      <c r="B65" s="3" t="s">
        <v>436</v>
      </c>
      <c r="C65" s="3" t="s">
        <v>30</v>
      </c>
      <c r="D65" s="3" t="s">
        <v>20</v>
      </c>
      <c r="E65" s="3" t="str">
        <f aca="false">IF(AND(A65&lt;&gt;"",B65&lt;&gt;"",D65&lt;&gt;""),UPPER(SUBSTITUTE(A65," ","-"))&amp;"-"&amp;UPPER(SUBSTITUTE(B65," ","-"))&amp;"-"&amp;UPPER(SUBSTITUTE(D65," ","-")),"")</f>
        <v>CREED-GREEN-IRISH-TWEED-100ML</v>
      </c>
      <c r="F65" s="3" t="s">
        <v>437</v>
      </c>
      <c r="G65" s="4" t="n">
        <v>395</v>
      </c>
      <c r="H65" s="4" t="n">
        <v>217</v>
      </c>
      <c r="I65" s="5" t="n">
        <v>8</v>
      </c>
      <c r="J65" s="6" t="s">
        <v>109</v>
      </c>
      <c r="K65" s="6" t="s">
        <v>438</v>
      </c>
      <c r="L65" s="6" t="s">
        <v>439</v>
      </c>
      <c r="M65" s="6" t="s">
        <v>440</v>
      </c>
      <c r="N65" s="6" t="s">
        <v>26</v>
      </c>
      <c r="O65" s="6" t="s">
        <v>441</v>
      </c>
    </row>
    <row r="66" customFormat="false" ht="15" hidden="false" customHeight="false" outlineLevel="0" collapsed="false">
      <c r="A66" s="3" t="s">
        <v>37</v>
      </c>
      <c r="B66" s="3" t="s">
        <v>442</v>
      </c>
      <c r="C66" s="3" t="s">
        <v>30</v>
      </c>
      <c r="D66" s="3" t="s">
        <v>20</v>
      </c>
      <c r="E66" s="3" t="str">
        <f aca="false">IF(AND(A66&lt;&gt;"",B66&lt;&gt;"",D66&lt;&gt;""),UPPER(SUBSTITUTE(A66," ","-"))&amp;"-"&amp;UPPER(SUBSTITUTE(B66," ","-"))&amp;"-"&amp;UPPER(SUBSTITUTE(D66," ","-")),"")</f>
        <v>CREED-SILVER-MOUNTAIN-WATER-100ML</v>
      </c>
      <c r="F66" s="3" t="s">
        <v>443</v>
      </c>
      <c r="G66" s="4" t="n">
        <v>410</v>
      </c>
      <c r="H66" s="4" t="n">
        <v>226</v>
      </c>
      <c r="I66" s="5" t="n">
        <v>3</v>
      </c>
      <c r="J66" s="6" t="s">
        <v>81</v>
      </c>
      <c r="K66" s="6" t="s">
        <v>444</v>
      </c>
      <c r="L66" s="6" t="s">
        <v>445</v>
      </c>
      <c r="M66" s="6" t="s">
        <v>446</v>
      </c>
      <c r="N66" s="6" t="s">
        <v>184</v>
      </c>
      <c r="O66" s="6" t="s">
        <v>447</v>
      </c>
    </row>
    <row r="67" customFormat="false" ht="15" hidden="false" customHeight="false" outlineLevel="0" collapsed="false">
      <c r="A67" s="3" t="s">
        <v>448</v>
      </c>
      <c r="B67" s="3" t="s">
        <v>449</v>
      </c>
      <c r="C67" s="3" t="s">
        <v>30</v>
      </c>
      <c r="D67" s="3" t="s">
        <v>450</v>
      </c>
      <c r="E67" s="3" t="str">
        <f aca="false">IF(AND(A67&lt;&gt;"",B67&lt;&gt;"",D67&lt;&gt;""),UPPER(SUBSTITUTE(A67," ","-"))&amp;"-"&amp;UPPER(SUBSTITUTE(B67," ","-"))&amp;"-"&amp;UPPER(SUBSTITUTE(D67," ","-")),"")</f>
        <v>PARFUMS-DE-MARLY-LAYTON-125ML</v>
      </c>
      <c r="F67" s="3" t="s">
        <v>451</v>
      </c>
      <c r="G67" s="4" t="n">
        <v>340</v>
      </c>
      <c r="H67" s="4" t="n">
        <v>187</v>
      </c>
      <c r="I67" s="5" t="n">
        <v>10</v>
      </c>
      <c r="J67" s="6" t="s">
        <v>48</v>
      </c>
      <c r="K67" s="6" t="s">
        <v>452</v>
      </c>
      <c r="L67" s="6" t="s">
        <v>453</v>
      </c>
      <c r="M67" s="6" t="s">
        <v>454</v>
      </c>
      <c r="N67" s="6" t="s">
        <v>26</v>
      </c>
      <c r="O67" s="6" t="s">
        <v>455</v>
      </c>
    </row>
    <row r="68" customFormat="false" ht="15" hidden="false" customHeight="false" outlineLevel="0" collapsed="false">
      <c r="A68" s="3" t="s">
        <v>448</v>
      </c>
      <c r="B68" s="3" t="s">
        <v>456</v>
      </c>
      <c r="C68" s="3" t="s">
        <v>30</v>
      </c>
      <c r="D68" s="3" t="s">
        <v>87</v>
      </c>
      <c r="E68" s="3" t="str">
        <f aca="false">IF(AND(A68&lt;&gt;"",B68&lt;&gt;"",D68&lt;&gt;""),UPPER(SUBSTITUTE(A68," ","-"))&amp;"-"&amp;UPPER(SUBSTITUTE(B68," ","-"))&amp;"-"&amp;UPPER(SUBSTITUTE(D68," ","-")),"")</f>
        <v>PARFUMS-DE-MARLY-DELINA-75ML</v>
      </c>
      <c r="F68" s="3" t="s">
        <v>457</v>
      </c>
      <c r="G68" s="4" t="n">
        <v>295</v>
      </c>
      <c r="H68" s="4" t="n">
        <v>162</v>
      </c>
      <c r="I68" s="5" t="n">
        <v>6</v>
      </c>
      <c r="J68" s="6" t="s">
        <v>221</v>
      </c>
      <c r="K68" s="6" t="s">
        <v>458</v>
      </c>
      <c r="L68" s="6" t="s">
        <v>459</v>
      </c>
      <c r="M68" s="6" t="s">
        <v>460</v>
      </c>
      <c r="N68" s="6" t="s">
        <v>217</v>
      </c>
      <c r="O68" s="6" t="s">
        <v>461</v>
      </c>
    </row>
    <row r="69" customFormat="false" ht="15" hidden="false" customHeight="false" outlineLevel="0" collapsed="false">
      <c r="A69" s="3" t="s">
        <v>462</v>
      </c>
      <c r="B69" s="3" t="s">
        <v>463</v>
      </c>
      <c r="C69" s="3" t="s">
        <v>30</v>
      </c>
      <c r="D69" s="3" t="s">
        <v>253</v>
      </c>
      <c r="E69" s="3" t="str">
        <f aca="false">IF(AND(A69&lt;&gt;"",B69&lt;&gt;"",D69&lt;&gt;""),UPPER(SUBSTITUTE(A69," ","-"))&amp;"-"&amp;UPPER(SUBSTITUTE(B69," ","-"))&amp;"-"&amp;UPPER(SUBSTITUTE(D69," ","-")),"")</f>
        <v>INITIO-OUD-FOR-GREATNESS-90ML</v>
      </c>
      <c r="F69" s="3" t="s">
        <v>464</v>
      </c>
      <c r="G69" s="4" t="n">
        <v>360</v>
      </c>
      <c r="H69" s="4" t="n">
        <v>198</v>
      </c>
      <c r="I69" s="5" t="n">
        <v>12</v>
      </c>
      <c r="J69" s="6" t="s">
        <v>32</v>
      </c>
      <c r="K69" s="6" t="s">
        <v>465</v>
      </c>
      <c r="L69" s="6" t="s">
        <v>466</v>
      </c>
      <c r="M69" s="6" t="s">
        <v>467</v>
      </c>
      <c r="N69" s="6" t="s">
        <v>184</v>
      </c>
      <c r="O69" s="6" t="s">
        <v>468</v>
      </c>
    </row>
    <row r="70" customFormat="false" ht="15" hidden="false" customHeight="false" outlineLevel="0" collapsed="false">
      <c r="A70" s="3" t="s">
        <v>469</v>
      </c>
      <c r="B70" s="3" t="s">
        <v>470</v>
      </c>
      <c r="C70" s="3" t="s">
        <v>30</v>
      </c>
      <c r="D70" s="3" t="s">
        <v>20</v>
      </c>
      <c r="E70" s="3" t="str">
        <f aca="false">IF(AND(A70&lt;&gt;"",B70&lt;&gt;"",D70&lt;&gt;""),UPPER(SUBSTITUTE(A70," ","-"))&amp;"-"&amp;UPPER(SUBSTITUTE(B70," ","-"))&amp;"-"&amp;UPPER(SUBSTITUTE(D70," ","-")),"")</f>
        <v>XERJOFF-NAXOS-100ML</v>
      </c>
      <c r="F70" s="3" t="s">
        <v>471</v>
      </c>
      <c r="G70" s="4" t="n">
        <v>285</v>
      </c>
      <c r="H70" s="4" t="n">
        <v>157</v>
      </c>
      <c r="I70" s="5" t="n">
        <v>11</v>
      </c>
      <c r="J70" s="6" t="s">
        <v>48</v>
      </c>
      <c r="K70" s="6" t="s">
        <v>472</v>
      </c>
      <c r="L70" s="6" t="s">
        <v>473</v>
      </c>
      <c r="M70" s="6" t="s">
        <v>474</v>
      </c>
      <c r="N70" s="6" t="s">
        <v>26</v>
      </c>
      <c r="O70" s="6" t="s">
        <v>157</v>
      </c>
    </row>
    <row r="71" customFormat="false" ht="15" hidden="false" customHeight="false" outlineLevel="0" collapsed="false">
      <c r="A71" s="3" t="s">
        <v>59</v>
      </c>
      <c r="B71" s="3" t="s">
        <v>475</v>
      </c>
      <c r="C71" s="3" t="s">
        <v>30</v>
      </c>
      <c r="D71" s="3" t="s">
        <v>20</v>
      </c>
      <c r="E71" s="3" t="str">
        <f aca="false">IF(AND(A71&lt;&gt;"",B71&lt;&gt;"",D71&lt;&gt;""),UPPER(SUBSTITUTE(A71," ","-"))&amp;"-"&amp;UPPER(SUBSTITUTE(B71," ","-"))&amp;"-"&amp;UPPER(SUBSTITUTE(D71," ","-")),"")</f>
        <v>VERSACE-EROS-FLAME-100ML</v>
      </c>
      <c r="F71" s="3" t="s">
        <v>476</v>
      </c>
      <c r="G71" s="4" t="n">
        <v>90</v>
      </c>
      <c r="H71" s="4" t="n">
        <v>50</v>
      </c>
      <c r="I71" s="5" t="n">
        <v>7</v>
      </c>
      <c r="J71" s="6" t="s">
        <v>48</v>
      </c>
      <c r="K71" s="6" t="s">
        <v>477</v>
      </c>
      <c r="L71" s="6" t="s">
        <v>478</v>
      </c>
      <c r="M71" s="6" t="s">
        <v>479</v>
      </c>
      <c r="N71" s="6" t="s">
        <v>26</v>
      </c>
      <c r="O71" s="6" t="s">
        <v>480</v>
      </c>
    </row>
    <row r="72" customFormat="false" ht="15" hidden="false" customHeight="false" outlineLevel="0" collapsed="false">
      <c r="A72" s="3" t="s">
        <v>481</v>
      </c>
      <c r="B72" s="3" t="s">
        <v>482</v>
      </c>
      <c r="C72" s="3" t="s">
        <v>19</v>
      </c>
      <c r="D72" s="3" t="s">
        <v>20</v>
      </c>
      <c r="E72" s="3" t="str">
        <f aca="false">IF(AND(A72&lt;&gt;"",B72&lt;&gt;"",D72&lt;&gt;""),UPPER(SUBSTITUTE(A72," ","-"))&amp;"-"&amp;UPPER(SUBSTITUTE(B72," ","-"))&amp;"-"&amp;UPPER(SUBSTITUTE(D72," ","-")),"")</f>
        <v>VALENTINO-UOMO-BORN-IN-ROMA-100ML</v>
      </c>
      <c r="F72" s="3" t="s">
        <v>483</v>
      </c>
      <c r="G72" s="4" t="n">
        <v>95</v>
      </c>
      <c r="H72" s="4" t="n">
        <v>52</v>
      </c>
      <c r="I72" s="5" t="n">
        <v>11</v>
      </c>
      <c r="J72" s="6" t="s">
        <v>22</v>
      </c>
      <c r="K72" s="6" t="s">
        <v>484</v>
      </c>
      <c r="L72" s="6" t="s">
        <v>485</v>
      </c>
      <c r="M72" s="6" t="s">
        <v>486</v>
      </c>
      <c r="N72" s="6" t="s">
        <v>26</v>
      </c>
      <c r="O72" s="6" t="s">
        <v>487</v>
      </c>
    </row>
    <row r="73" customFormat="false" ht="15" hidden="false" customHeight="false" outlineLevel="0" collapsed="false">
      <c r="A73" s="3" t="s">
        <v>481</v>
      </c>
      <c r="B73" s="3" t="s">
        <v>488</v>
      </c>
      <c r="C73" s="3" t="s">
        <v>30</v>
      </c>
      <c r="D73" s="3" t="s">
        <v>20</v>
      </c>
      <c r="E73" s="3" t="str">
        <f aca="false">IF(AND(A73&lt;&gt;"",B73&lt;&gt;"",D73&lt;&gt;""),UPPER(SUBSTITUTE(A73," ","-"))&amp;"-"&amp;UPPER(SUBSTITUTE(B73," ","-"))&amp;"-"&amp;UPPER(SUBSTITUTE(D73," ","-")),"")</f>
        <v>VALENTINO-DONNA-BORN-IN-ROMA-100ML</v>
      </c>
      <c r="F73" s="3" t="s">
        <v>489</v>
      </c>
      <c r="G73" s="4" t="n">
        <v>110</v>
      </c>
      <c r="H73" s="4" t="n">
        <v>61</v>
      </c>
      <c r="I73" s="5" t="n">
        <v>5</v>
      </c>
      <c r="J73" s="6" t="s">
        <v>221</v>
      </c>
      <c r="K73" s="6" t="s">
        <v>490</v>
      </c>
      <c r="L73" s="6" t="s">
        <v>491</v>
      </c>
      <c r="M73" s="6" t="s">
        <v>492</v>
      </c>
      <c r="N73" s="6" t="s">
        <v>217</v>
      </c>
      <c r="O73" s="6" t="s">
        <v>493</v>
      </c>
    </row>
    <row r="74" customFormat="false" ht="15" hidden="false" customHeight="false" outlineLevel="0" collapsed="false">
      <c r="A74" s="3" t="s">
        <v>494</v>
      </c>
      <c r="B74" s="3" t="s">
        <v>495</v>
      </c>
      <c r="C74" s="3" t="s">
        <v>30</v>
      </c>
      <c r="D74" s="3" t="s">
        <v>20</v>
      </c>
      <c r="E74" s="3" t="str">
        <f aca="false">IF(AND(A74&lt;&gt;"",B74&lt;&gt;"",D74&lt;&gt;""),UPPER(SUBSTITUTE(A74," ","-"))&amp;"-"&amp;UPPER(SUBSTITUTE(B74," ","-"))&amp;"-"&amp;UPPER(SUBSTITUTE(D74," ","-")),"")</f>
        <v>GIVENCHY-GENTLEMAN-100ML</v>
      </c>
      <c r="F74" s="3" t="s">
        <v>496</v>
      </c>
      <c r="G74" s="4" t="n">
        <v>105</v>
      </c>
      <c r="H74" s="4" t="n">
        <v>58</v>
      </c>
      <c r="I74" s="5" t="n">
        <v>13</v>
      </c>
      <c r="J74" s="6" t="s">
        <v>48</v>
      </c>
      <c r="K74" s="6" t="s">
        <v>497</v>
      </c>
      <c r="L74" s="6" t="s">
        <v>498</v>
      </c>
      <c r="M74" s="6" t="s">
        <v>499</v>
      </c>
      <c r="N74" s="6" t="s">
        <v>26</v>
      </c>
      <c r="O74" s="6" t="s">
        <v>500</v>
      </c>
    </row>
    <row r="75" customFormat="false" ht="15" hidden="false" customHeight="false" outlineLevel="0" collapsed="false">
      <c r="A75" s="3" t="s">
        <v>501</v>
      </c>
      <c r="B75" s="3" t="s">
        <v>502</v>
      </c>
      <c r="C75" s="3" t="s">
        <v>19</v>
      </c>
      <c r="D75" s="3" t="s">
        <v>20</v>
      </c>
      <c r="E75" s="3" t="str">
        <f aca="false">IF(AND(A75&lt;&gt;"",B75&lt;&gt;"",D75&lt;&gt;""),UPPER(SUBSTITUTE(A75," ","-"))&amp;"-"&amp;UPPER(SUBSTITUTE(B75," ","-"))&amp;"-"&amp;UPPER(SUBSTITUTE(D75," ","-")),"")</f>
        <v>HUGO-BOSS-BOSS-BOTTLED-100ML</v>
      </c>
      <c r="F75" s="3" t="s">
        <v>503</v>
      </c>
      <c r="G75" s="4" t="n">
        <v>90</v>
      </c>
      <c r="H75" s="4" t="n">
        <v>50</v>
      </c>
      <c r="I75" s="5" t="n">
        <v>3</v>
      </c>
      <c r="J75" s="6" t="s">
        <v>32</v>
      </c>
      <c r="K75" s="6" t="s">
        <v>504</v>
      </c>
      <c r="L75" s="6" t="s">
        <v>505</v>
      </c>
      <c r="M75" s="6" t="s">
        <v>506</v>
      </c>
      <c r="N75" s="6" t="s">
        <v>26</v>
      </c>
      <c r="O75" s="6" t="s">
        <v>507</v>
      </c>
    </row>
    <row r="76" customFormat="false" ht="15" hidden="false" customHeight="false" outlineLevel="0" collapsed="false">
      <c r="A76" s="3" t="s">
        <v>501</v>
      </c>
      <c r="B76" s="3" t="s">
        <v>508</v>
      </c>
      <c r="C76" s="3" t="s">
        <v>509</v>
      </c>
      <c r="D76" s="3" t="s">
        <v>20</v>
      </c>
      <c r="E76" s="3" t="str">
        <f aca="false">IF(AND(A76&lt;&gt;"",B76&lt;&gt;"",D76&lt;&gt;""),UPPER(SUBSTITUTE(A76," ","-"))&amp;"-"&amp;UPPER(SUBSTITUTE(B76," ","-"))&amp;"-"&amp;UPPER(SUBSTITUTE(D76," ","-")),"")</f>
        <v>HUGO-BOSS-BOSS-BOTTLED-PARFUM-100ML</v>
      </c>
      <c r="F76" s="3" t="s">
        <v>510</v>
      </c>
      <c r="G76" s="4" t="n">
        <v>110</v>
      </c>
      <c r="H76" s="4" t="n">
        <v>61</v>
      </c>
      <c r="I76" s="5" t="n">
        <v>2</v>
      </c>
      <c r="J76" s="6" t="s">
        <v>32</v>
      </c>
      <c r="K76" s="6" t="s">
        <v>511</v>
      </c>
      <c r="L76" s="6" t="s">
        <v>512</v>
      </c>
      <c r="M76" s="6" t="s">
        <v>513</v>
      </c>
      <c r="N76" s="6" t="s">
        <v>26</v>
      </c>
      <c r="O76" s="6" t="s">
        <v>514</v>
      </c>
    </row>
    <row r="77" customFormat="false" ht="15" hidden="false" customHeight="false" outlineLevel="0" collapsed="false">
      <c r="A77" s="3" t="s">
        <v>515</v>
      </c>
      <c r="B77" s="3" t="s">
        <v>516</v>
      </c>
      <c r="C77" s="3" t="s">
        <v>411</v>
      </c>
      <c r="D77" s="3" t="s">
        <v>20</v>
      </c>
      <c r="E77" s="3" t="str">
        <f aca="false">IF(AND(A77&lt;&gt;"",B77&lt;&gt;"",D77&lt;&gt;""),UPPER(SUBSTITUTE(A77," ","-"))&amp;"-"&amp;UPPER(SUBSTITUTE(B77," ","-"))&amp;"-"&amp;UPPER(SUBSTITUTE(D77," ","-")),"")</f>
        <v>CALVIN-KLEIN-CK-ONE-100ML</v>
      </c>
      <c r="F77" s="3" t="s">
        <v>517</v>
      </c>
      <c r="G77" s="4" t="n">
        <v>65</v>
      </c>
      <c r="H77" s="4" t="n">
        <v>36</v>
      </c>
      <c r="I77" s="5" t="n">
        <v>12</v>
      </c>
      <c r="J77" s="6" t="s">
        <v>140</v>
      </c>
      <c r="K77" s="6" t="s">
        <v>518</v>
      </c>
      <c r="L77" s="6" t="s">
        <v>519</v>
      </c>
      <c r="M77" s="6" t="s">
        <v>520</v>
      </c>
      <c r="N77" s="6" t="s">
        <v>184</v>
      </c>
      <c r="O77" s="6" t="s">
        <v>521</v>
      </c>
    </row>
    <row r="78" customFormat="false" ht="15" hidden="false" customHeight="false" outlineLevel="0" collapsed="false">
      <c r="A78" s="3" t="s">
        <v>515</v>
      </c>
      <c r="B78" s="3" t="s">
        <v>522</v>
      </c>
      <c r="C78" s="3" t="s">
        <v>19</v>
      </c>
      <c r="D78" s="3" t="s">
        <v>20</v>
      </c>
      <c r="E78" s="3" t="str">
        <f aca="false">IF(AND(A78&lt;&gt;"",B78&lt;&gt;"",D78&lt;&gt;""),UPPER(SUBSTITUTE(A78," ","-"))&amp;"-"&amp;UPPER(SUBSTITUTE(B78," ","-"))&amp;"-"&amp;UPPER(SUBSTITUTE(D78," ","-")),"")</f>
        <v>CALVIN-KLEIN-ETERNITY-FOR-MEN-100ML</v>
      </c>
      <c r="F78" s="3" t="s">
        <v>523</v>
      </c>
      <c r="G78" s="4" t="n">
        <v>70</v>
      </c>
      <c r="H78" s="4" t="n">
        <v>38</v>
      </c>
      <c r="I78" s="5" t="n">
        <v>5</v>
      </c>
      <c r="J78" s="6" t="s">
        <v>109</v>
      </c>
      <c r="K78" s="6" t="s">
        <v>524</v>
      </c>
      <c r="L78" s="6" t="s">
        <v>525</v>
      </c>
      <c r="M78" s="6" t="s">
        <v>526</v>
      </c>
      <c r="N78" s="6" t="s">
        <v>26</v>
      </c>
      <c r="O78" s="6" t="s">
        <v>527</v>
      </c>
    </row>
    <row r="79" customFormat="false" ht="15" hidden="false" customHeight="false" outlineLevel="0" collapsed="false">
      <c r="A79" s="3" t="s">
        <v>528</v>
      </c>
      <c r="B79" s="3" t="s">
        <v>529</v>
      </c>
      <c r="C79" s="3" t="s">
        <v>19</v>
      </c>
      <c r="D79" s="3" t="s">
        <v>20</v>
      </c>
      <c r="E79" s="3" t="str">
        <f aca="false">IF(AND(A79&lt;&gt;"",B79&lt;&gt;"",D79&lt;&gt;""),UPPER(SUBSTITUTE(A79," ","-"))&amp;"-"&amp;UPPER(SUBSTITUTE(B79," ","-"))&amp;"-"&amp;UPPER(SUBSTITUTE(D79," ","-")),"")</f>
        <v>RALPH-LAUREN-POLO-BLUE-100ML</v>
      </c>
      <c r="F79" s="3" t="s">
        <v>530</v>
      </c>
      <c r="G79" s="4" t="n">
        <v>90</v>
      </c>
      <c r="H79" s="4" t="n">
        <v>50</v>
      </c>
      <c r="I79" s="5" t="n">
        <v>14</v>
      </c>
      <c r="J79" s="6" t="s">
        <v>81</v>
      </c>
      <c r="K79" s="6" t="s">
        <v>531</v>
      </c>
      <c r="L79" s="6" t="s">
        <v>532</v>
      </c>
      <c r="M79" s="6" t="s">
        <v>533</v>
      </c>
      <c r="N79" s="6" t="s">
        <v>26</v>
      </c>
      <c r="O79" s="6" t="s">
        <v>534</v>
      </c>
    </row>
    <row r="80" customFormat="false" ht="15" hidden="false" customHeight="false" outlineLevel="0" collapsed="false">
      <c r="A80" s="3" t="s">
        <v>528</v>
      </c>
      <c r="B80" s="3" t="s">
        <v>535</v>
      </c>
      <c r="C80" s="3" t="s">
        <v>19</v>
      </c>
      <c r="D80" s="3" t="s">
        <v>20</v>
      </c>
      <c r="E80" s="3" t="str">
        <f aca="false">IF(AND(A80&lt;&gt;"",B80&lt;&gt;"",D80&lt;&gt;""),UPPER(SUBSTITUTE(A80," ","-"))&amp;"-"&amp;UPPER(SUBSTITUTE(B80," ","-"))&amp;"-"&amp;UPPER(SUBSTITUTE(D80," ","-")),"")</f>
        <v>RALPH-LAUREN-POLO-RED-100ML</v>
      </c>
      <c r="F80" s="3" t="s">
        <v>536</v>
      </c>
      <c r="G80" s="4" t="n">
        <v>95</v>
      </c>
      <c r="H80" s="4" t="n">
        <v>52</v>
      </c>
      <c r="I80" s="5" t="n">
        <v>6</v>
      </c>
      <c r="J80" s="6" t="s">
        <v>32</v>
      </c>
      <c r="K80" s="6" t="s">
        <v>537</v>
      </c>
      <c r="L80" s="6" t="s">
        <v>538</v>
      </c>
      <c r="M80" s="6" t="s">
        <v>539</v>
      </c>
      <c r="N80" s="6" t="s">
        <v>26</v>
      </c>
      <c r="O80" s="6" t="s">
        <v>540</v>
      </c>
    </row>
    <row r="81" customFormat="false" ht="15" hidden="false" customHeight="false" outlineLevel="0" collapsed="false">
      <c r="A81" s="3" t="s">
        <v>119</v>
      </c>
      <c r="B81" s="3" t="s">
        <v>541</v>
      </c>
      <c r="C81" s="3" t="s">
        <v>19</v>
      </c>
      <c r="D81" s="3" t="s">
        <v>20</v>
      </c>
      <c r="E81" s="3" t="str">
        <f aca="false">IF(AND(A81&lt;&gt;"",B81&lt;&gt;"",D81&lt;&gt;""),UPPER(SUBSTITUTE(A81," ","-"))&amp;"-"&amp;UPPER(SUBSTITUTE(B81," ","-"))&amp;"-"&amp;UPPER(SUBSTITUTE(D81," ","-")),"")</f>
        <v>PRADA-L'HOMME-100ML</v>
      </c>
      <c r="F81" s="3" t="s">
        <v>542</v>
      </c>
      <c r="G81" s="4" t="n">
        <v>105</v>
      </c>
      <c r="H81" s="4" t="n">
        <v>58</v>
      </c>
      <c r="I81" s="5" t="n">
        <v>3</v>
      </c>
      <c r="J81" s="6" t="s">
        <v>221</v>
      </c>
      <c r="K81" s="6" t="s">
        <v>543</v>
      </c>
      <c r="L81" s="6" t="s">
        <v>544</v>
      </c>
      <c r="M81" s="6" t="s">
        <v>545</v>
      </c>
      <c r="N81" s="6" t="s">
        <v>26</v>
      </c>
      <c r="O81" s="6" t="s">
        <v>546</v>
      </c>
    </row>
    <row r="82" customFormat="false" ht="15" hidden="false" customHeight="false" outlineLevel="0" collapsed="false">
      <c r="A82" s="3" t="s">
        <v>119</v>
      </c>
      <c r="B82" s="3" t="s">
        <v>547</v>
      </c>
      <c r="C82" s="3" t="s">
        <v>19</v>
      </c>
      <c r="D82" s="3" t="s">
        <v>20</v>
      </c>
      <c r="E82" s="3" t="str">
        <f aca="false">IF(AND(A82&lt;&gt;"",B82&lt;&gt;"",D82&lt;&gt;""),UPPER(SUBSTITUTE(A82," ","-"))&amp;"-"&amp;UPPER(SUBSTITUTE(B82," ","-"))&amp;"-"&amp;UPPER(SUBSTITUTE(D82," ","-")),"")</f>
        <v>PRADA-LUNA-ROSSA-OCEAN-100ML</v>
      </c>
      <c r="F82" s="3" t="s">
        <v>548</v>
      </c>
      <c r="G82" s="4" t="n">
        <v>100</v>
      </c>
      <c r="H82" s="4" t="n">
        <v>55</v>
      </c>
      <c r="I82" s="5" t="n">
        <v>5</v>
      </c>
      <c r="J82" s="6" t="s">
        <v>81</v>
      </c>
      <c r="K82" s="6" t="s">
        <v>549</v>
      </c>
      <c r="L82" s="6" t="s">
        <v>550</v>
      </c>
      <c r="M82" s="6" t="s">
        <v>551</v>
      </c>
      <c r="N82" s="6" t="s">
        <v>26</v>
      </c>
      <c r="O82" s="6" t="s">
        <v>552</v>
      </c>
    </row>
    <row r="83" customFormat="false" ht="15" hidden="false" customHeight="false" outlineLevel="0" collapsed="false">
      <c r="A83" s="3" t="s">
        <v>335</v>
      </c>
      <c r="B83" s="3" t="s">
        <v>553</v>
      </c>
      <c r="C83" s="3" t="s">
        <v>19</v>
      </c>
      <c r="D83" s="3" t="s">
        <v>20</v>
      </c>
      <c r="E83" s="3" t="str">
        <f aca="false">IF(AND(A83&lt;&gt;"",B83&lt;&gt;"",D83&lt;&gt;""),UPPER(SUBSTITUTE(A83," ","-"))&amp;"-"&amp;UPPER(SUBSTITUTE(B83," ","-"))&amp;"-"&amp;UPPER(SUBSTITUTE(D83," ","-")),"")</f>
        <v>BURBERRY-MR.-BURBERRY-100ML</v>
      </c>
      <c r="F83" s="3" t="s">
        <v>554</v>
      </c>
      <c r="G83" s="4" t="n">
        <v>95</v>
      </c>
      <c r="H83" s="4" t="n">
        <v>52</v>
      </c>
      <c r="I83" s="5" t="n">
        <v>3</v>
      </c>
      <c r="J83" s="6" t="s">
        <v>22</v>
      </c>
      <c r="K83" s="6" t="s">
        <v>555</v>
      </c>
      <c r="L83" s="6" t="s">
        <v>556</v>
      </c>
      <c r="M83" s="6" t="s">
        <v>557</v>
      </c>
      <c r="N83" s="6" t="s">
        <v>26</v>
      </c>
      <c r="O83" s="6" t="s">
        <v>558</v>
      </c>
    </row>
    <row r="84" customFormat="false" ht="15" hidden="false" customHeight="false" outlineLevel="0" collapsed="false">
      <c r="A84" s="3" t="s">
        <v>559</v>
      </c>
      <c r="B84" s="3" t="s">
        <v>560</v>
      </c>
      <c r="C84" s="3" t="s">
        <v>19</v>
      </c>
      <c r="D84" s="3" t="s">
        <v>20</v>
      </c>
      <c r="E84" s="3" t="str">
        <f aca="false">IF(AND(A84&lt;&gt;"",B84&lt;&gt;"",D84&lt;&gt;""),UPPER(SUBSTITUTE(A84," ","-"))&amp;"-"&amp;UPPER(SUBSTITUTE(B84," ","-"))&amp;"-"&amp;UPPER(SUBSTITUTE(D84," ","-")),"")</f>
        <v>ISSEY-MIYAKE-L'EAU-D'ISSEY-POUR-HOMME-100ML</v>
      </c>
      <c r="F84" s="3" t="s">
        <v>561</v>
      </c>
      <c r="G84" s="4" t="n">
        <v>85</v>
      </c>
      <c r="H84" s="4" t="n">
        <v>47</v>
      </c>
      <c r="I84" s="5" t="n">
        <v>8</v>
      </c>
      <c r="J84" s="6" t="s">
        <v>81</v>
      </c>
      <c r="K84" s="6" t="s">
        <v>562</v>
      </c>
      <c r="L84" s="6" t="s">
        <v>563</v>
      </c>
      <c r="M84" s="6" t="s">
        <v>564</v>
      </c>
      <c r="N84" s="6" t="s">
        <v>26</v>
      </c>
      <c r="O84" s="6" t="s">
        <v>565</v>
      </c>
    </row>
    <row r="85" customFormat="false" ht="15" hidden="false" customHeight="false" outlineLevel="0" collapsed="false">
      <c r="A85" s="3" t="s">
        <v>566</v>
      </c>
      <c r="B85" s="3" t="s">
        <v>567</v>
      </c>
      <c r="C85" s="3" t="s">
        <v>30</v>
      </c>
      <c r="D85" s="3" t="s">
        <v>20</v>
      </c>
      <c r="E85" s="3" t="str">
        <f aca="false">IF(AND(A85&lt;&gt;"",B85&lt;&gt;"",D85&lt;&gt;""),UPPER(SUBSTITUTE(A85," ","-"))&amp;"-"&amp;UPPER(SUBSTITUTE(B85," ","-"))&amp;"-"&amp;UPPER(SUBSTITUTE(D85," ","-")),"")</f>
        <v>KENZO-FLOWER-BY-KENZO-100ML</v>
      </c>
      <c r="F85" s="3" t="s">
        <v>568</v>
      </c>
      <c r="G85" s="4" t="n">
        <v>105</v>
      </c>
      <c r="H85" s="4" t="n">
        <v>58</v>
      </c>
      <c r="I85" s="5" t="n">
        <v>6</v>
      </c>
      <c r="J85" s="6" t="s">
        <v>221</v>
      </c>
      <c r="K85" s="6" t="s">
        <v>294</v>
      </c>
      <c r="L85" s="6" t="s">
        <v>569</v>
      </c>
      <c r="M85" s="6" t="s">
        <v>570</v>
      </c>
      <c r="N85" s="6" t="s">
        <v>217</v>
      </c>
      <c r="O85" s="6" t="s">
        <v>571</v>
      </c>
    </row>
    <row r="86" customFormat="false" ht="15" hidden="false" customHeight="false" outlineLevel="0" collapsed="false">
      <c r="A86" s="3" t="s">
        <v>265</v>
      </c>
      <c r="B86" s="3" t="s">
        <v>572</v>
      </c>
      <c r="C86" s="3" t="s">
        <v>19</v>
      </c>
      <c r="D86" s="3" t="s">
        <v>20</v>
      </c>
      <c r="E86" s="3" t="str">
        <f aca="false">IF(AND(A86&lt;&gt;"",B86&lt;&gt;"",D86&lt;&gt;""),UPPER(SUBSTITUTE(A86," ","-"))&amp;"-"&amp;UPPER(SUBSTITUTE(B86," ","-"))&amp;"-"&amp;UPPER(SUBSTITUTE(D86," ","-")),"")</f>
        <v>VIKTOR&amp;ROLF-SPICEBOMB-100ML</v>
      </c>
      <c r="F86" s="3" t="s">
        <v>573</v>
      </c>
      <c r="G86" s="4" t="n">
        <v>95</v>
      </c>
      <c r="H86" s="4" t="n">
        <v>52</v>
      </c>
      <c r="I86" s="5" t="n">
        <v>9</v>
      </c>
      <c r="J86" s="6" t="s">
        <v>48</v>
      </c>
      <c r="K86" s="6" t="s">
        <v>574</v>
      </c>
      <c r="L86" s="6" t="s">
        <v>575</v>
      </c>
      <c r="M86" s="6" t="s">
        <v>576</v>
      </c>
      <c r="N86" s="6" t="s">
        <v>26</v>
      </c>
      <c r="O86" s="6" t="s">
        <v>577</v>
      </c>
    </row>
    <row r="87" customFormat="false" ht="15" hidden="false" customHeight="false" outlineLevel="0" collapsed="false">
      <c r="A87" s="3" t="s">
        <v>78</v>
      </c>
      <c r="B87" s="3" t="s">
        <v>578</v>
      </c>
      <c r="C87" s="3" t="s">
        <v>19</v>
      </c>
      <c r="D87" s="3" t="s">
        <v>20</v>
      </c>
      <c r="E87" s="3" t="str">
        <f aca="false">IF(AND(A87&lt;&gt;"",B87&lt;&gt;"",D87&lt;&gt;""),UPPER(SUBSTITUTE(A87," ","-"))&amp;"-"&amp;UPPER(SUBSTITUTE(B87," ","-"))&amp;"-"&amp;UPPER(SUBSTITUTE(D87," ","-")),"")</f>
        <v>GIORGIO-ARMANI-ARMANI-CODE-100ML</v>
      </c>
      <c r="F87" s="3" t="s">
        <v>579</v>
      </c>
      <c r="G87" s="4" t="n">
        <v>90</v>
      </c>
      <c r="H87" s="4" t="n">
        <v>50</v>
      </c>
      <c r="I87" s="5" t="n">
        <v>12</v>
      </c>
      <c r="J87" s="6" t="s">
        <v>48</v>
      </c>
      <c r="K87" s="6" t="s">
        <v>580</v>
      </c>
      <c r="L87" s="6" t="s">
        <v>581</v>
      </c>
      <c r="M87" s="6" t="s">
        <v>582</v>
      </c>
      <c r="N87" s="6" t="s">
        <v>26</v>
      </c>
      <c r="O87" s="6" t="s">
        <v>583</v>
      </c>
    </row>
    <row r="88" customFormat="false" ht="15" hidden="false" customHeight="false" outlineLevel="0" collapsed="false">
      <c r="A88" s="3" t="s">
        <v>78</v>
      </c>
      <c r="B88" s="3" t="s">
        <v>584</v>
      </c>
      <c r="C88" s="3" t="s">
        <v>30</v>
      </c>
      <c r="D88" s="3" t="s">
        <v>253</v>
      </c>
      <c r="E88" s="3" t="str">
        <f aca="false">IF(AND(A88&lt;&gt;"",B88&lt;&gt;"",D88&lt;&gt;""),UPPER(SUBSTITUTE(A88," ","-"))&amp;"-"&amp;UPPER(SUBSTITUTE(B88," ","-"))&amp;"-"&amp;UPPER(SUBSTITUTE(D88," ","-")),"")</f>
        <v>GIORGIO-ARMANI-MY-WAY-90ML</v>
      </c>
      <c r="F88" s="3" t="s">
        <v>585</v>
      </c>
      <c r="G88" s="4" t="n">
        <v>115</v>
      </c>
      <c r="H88" s="4" t="n">
        <v>63</v>
      </c>
      <c r="I88" s="5" t="n">
        <v>7</v>
      </c>
      <c r="J88" s="6" t="s">
        <v>221</v>
      </c>
      <c r="K88" s="6" t="s">
        <v>586</v>
      </c>
      <c r="L88" s="6" t="s">
        <v>587</v>
      </c>
      <c r="M88" s="6" t="s">
        <v>588</v>
      </c>
      <c r="N88" s="6" t="s">
        <v>217</v>
      </c>
      <c r="O88" s="6" t="s">
        <v>589</v>
      </c>
    </row>
    <row r="89" customFormat="false" ht="15" hidden="false" customHeight="false" outlineLevel="0" collapsed="false">
      <c r="A89" s="3" t="s">
        <v>177</v>
      </c>
      <c r="B89" s="3" t="s">
        <v>590</v>
      </c>
      <c r="C89" s="3" t="s">
        <v>30</v>
      </c>
      <c r="D89" s="3" t="s">
        <v>20</v>
      </c>
      <c r="E89" s="3" t="str">
        <f aca="false">IF(AND(A89&lt;&gt;"",B89&lt;&gt;"",D89&lt;&gt;""),UPPER(SUBSTITUTE(A89," ","-"))&amp;"-"&amp;UPPER(SUBSTITUTE(B89," ","-"))&amp;"-"&amp;UPPER(SUBSTITUTE(D89," ","-")),"")</f>
        <v>TOM-FORD-BLACK-ORCHID-100ML</v>
      </c>
      <c r="F89" s="3" t="s">
        <v>591</v>
      </c>
      <c r="G89" s="4" t="n">
        <v>155</v>
      </c>
      <c r="H89" s="4" t="n">
        <v>85</v>
      </c>
      <c r="I89" s="5" t="n">
        <v>4</v>
      </c>
      <c r="J89" s="6" t="s">
        <v>48</v>
      </c>
      <c r="K89" s="6" t="s">
        <v>592</v>
      </c>
      <c r="L89" s="6" t="s">
        <v>593</v>
      </c>
      <c r="M89" s="6" t="s">
        <v>594</v>
      </c>
      <c r="N89" s="6" t="s">
        <v>184</v>
      </c>
      <c r="O89" s="6" t="s">
        <v>595</v>
      </c>
    </row>
    <row r="90" customFormat="false" ht="15" hidden="false" customHeight="false" outlineLevel="0" collapsed="false">
      <c r="A90" s="3" t="s">
        <v>177</v>
      </c>
      <c r="B90" s="3" t="s">
        <v>596</v>
      </c>
      <c r="C90" s="3" t="s">
        <v>30</v>
      </c>
      <c r="D90" s="3" t="s">
        <v>179</v>
      </c>
      <c r="E90" s="3" t="str">
        <f aca="false">IF(AND(A90&lt;&gt;"",B90&lt;&gt;"",D90&lt;&gt;""),UPPER(SUBSTITUTE(A90," ","-"))&amp;"-"&amp;UPPER(SUBSTITUTE(B90," ","-"))&amp;"-"&amp;UPPER(SUBSTITUTE(D90," ","-")),"")</f>
        <v>TOM-FORD-LOST-CHERRY-50ML</v>
      </c>
      <c r="F90" s="3" t="s">
        <v>597</v>
      </c>
      <c r="G90" s="4" t="n">
        <v>275</v>
      </c>
      <c r="H90" s="4" t="n">
        <v>151</v>
      </c>
      <c r="I90" s="5" t="n">
        <v>7</v>
      </c>
      <c r="J90" s="6" t="s">
        <v>247</v>
      </c>
      <c r="K90" s="6" t="s">
        <v>598</v>
      </c>
      <c r="L90" s="6" t="s">
        <v>599</v>
      </c>
      <c r="M90" s="6" t="s">
        <v>600</v>
      </c>
      <c r="N90" s="6" t="s">
        <v>184</v>
      </c>
      <c r="O90" s="6" t="s">
        <v>601</v>
      </c>
    </row>
    <row r="91" customFormat="false" ht="15" hidden="false" customHeight="false" outlineLevel="0" collapsed="false">
      <c r="A91" s="3" t="s">
        <v>59</v>
      </c>
      <c r="B91" s="3" t="s">
        <v>602</v>
      </c>
      <c r="C91" s="3" t="s">
        <v>19</v>
      </c>
      <c r="D91" s="3" t="s">
        <v>20</v>
      </c>
      <c r="E91" s="3" t="str">
        <f aca="false">IF(AND(A91&lt;&gt;"",B91&lt;&gt;"",D91&lt;&gt;""),UPPER(SUBSTITUTE(A91," ","-"))&amp;"-"&amp;UPPER(SUBSTITUTE(B91," ","-"))&amp;"-"&amp;UPPER(SUBSTITUTE(D91," ","-")),"")</f>
        <v>VERSACE-POUR-HOMME-100ML</v>
      </c>
      <c r="F91" s="3" t="s">
        <v>603</v>
      </c>
      <c r="G91" s="4" t="n">
        <v>75</v>
      </c>
      <c r="H91" s="4" t="n">
        <v>41</v>
      </c>
      <c r="I91" s="5" t="n">
        <v>7</v>
      </c>
      <c r="J91" s="6" t="s">
        <v>81</v>
      </c>
      <c r="K91" s="6" t="s">
        <v>604</v>
      </c>
      <c r="L91" s="6" t="s">
        <v>605</v>
      </c>
      <c r="M91" s="6" t="s">
        <v>606</v>
      </c>
      <c r="N91" s="6" t="s">
        <v>26</v>
      </c>
      <c r="O91" s="6" t="s">
        <v>552</v>
      </c>
    </row>
    <row r="92" customFormat="false" ht="15" hidden="false" customHeight="false" outlineLevel="0" collapsed="false">
      <c r="A92" s="3" t="s">
        <v>607</v>
      </c>
      <c r="B92" s="3" t="s">
        <v>608</v>
      </c>
      <c r="C92" s="3" t="s">
        <v>30</v>
      </c>
      <c r="D92" s="3" t="s">
        <v>179</v>
      </c>
      <c r="E92" s="3" t="str">
        <f aca="false">IF(AND(A92&lt;&gt;"",B92&lt;&gt;"",D92&lt;&gt;""),UPPER(SUBSTITUTE(A92," ","-"))&amp;"-"&amp;UPPER(SUBSTITUTE(B92," ","-"))&amp;"-"&amp;UPPER(SUBSTITUTE(D92," ","-")),"")</f>
        <v>NISHANE-HACIVAT-50ML</v>
      </c>
      <c r="F92" s="3" t="s">
        <v>609</v>
      </c>
      <c r="G92" s="4" t="n">
        <v>180</v>
      </c>
      <c r="H92" s="4" t="n">
        <v>99</v>
      </c>
      <c r="I92" s="5" t="n">
        <v>5</v>
      </c>
      <c r="J92" s="6" t="s">
        <v>40</v>
      </c>
      <c r="K92" s="6" t="s">
        <v>610</v>
      </c>
      <c r="L92" s="6" t="s">
        <v>611</v>
      </c>
      <c r="M92" s="6" t="s">
        <v>612</v>
      </c>
      <c r="N92" s="6" t="s">
        <v>184</v>
      </c>
      <c r="O92" s="6" t="s">
        <v>613</v>
      </c>
    </row>
    <row r="93" customFormat="false" ht="15" hidden="false" customHeight="false" outlineLevel="0" collapsed="false">
      <c r="A93" s="3" t="s">
        <v>614</v>
      </c>
      <c r="B93" s="3" t="s">
        <v>615</v>
      </c>
      <c r="C93" s="3" t="s">
        <v>30</v>
      </c>
      <c r="D93" s="3" t="s">
        <v>20</v>
      </c>
      <c r="E93" s="3" t="str">
        <f aca="false">IF(AND(A93&lt;&gt;"",B93&lt;&gt;"",D93&lt;&gt;""),UPPER(SUBSTITUTE(A93," ","-"))&amp;"-"&amp;UPPER(SUBSTITUTE(B93," ","-"))&amp;"-"&amp;UPPER(SUBSTITUTE(D93," ","-")),"")</f>
        <v>AMOUAGE-INTERLUDE-MAN-100ML</v>
      </c>
      <c r="F93" s="3" t="s">
        <v>616</v>
      </c>
      <c r="G93" s="4" t="n">
        <v>340</v>
      </c>
      <c r="H93" s="4" t="n">
        <v>187</v>
      </c>
      <c r="I93" s="5" t="n">
        <v>12</v>
      </c>
      <c r="J93" s="6" t="s">
        <v>48</v>
      </c>
      <c r="K93" s="6" t="s">
        <v>617</v>
      </c>
      <c r="L93" s="6" t="s">
        <v>618</v>
      </c>
      <c r="M93" s="6" t="s">
        <v>619</v>
      </c>
      <c r="N93" s="6" t="s">
        <v>26</v>
      </c>
      <c r="O93" s="6" t="s">
        <v>620</v>
      </c>
    </row>
    <row r="94" customFormat="false" ht="15" hidden="false" customHeight="false" outlineLevel="0" collapsed="false">
      <c r="A94" s="3" t="s">
        <v>409</v>
      </c>
      <c r="B94" s="3" t="s">
        <v>621</v>
      </c>
      <c r="C94" s="3" t="s">
        <v>411</v>
      </c>
      <c r="D94" s="3" t="s">
        <v>20</v>
      </c>
      <c r="E94" s="3" t="str">
        <f aca="false">IF(AND(A94&lt;&gt;"",B94&lt;&gt;"",D94&lt;&gt;""),UPPER(SUBSTITUTE(A94," ","-"))&amp;"-"&amp;UPPER(SUBSTITUTE(B94," ","-"))&amp;"-"&amp;UPPER(SUBSTITUTE(D94," ","-")),"")</f>
        <v>JO-MALONE-PEONY-&amp;-BLUSH-SUEDE-100ML</v>
      </c>
      <c r="F94" s="3" t="s">
        <v>622</v>
      </c>
      <c r="G94" s="4" t="n">
        <v>150</v>
      </c>
      <c r="H94" s="4" t="n">
        <v>82</v>
      </c>
      <c r="I94" s="5" t="n">
        <v>6</v>
      </c>
      <c r="J94" s="6" t="s">
        <v>221</v>
      </c>
      <c r="K94" s="6" t="s">
        <v>623</v>
      </c>
      <c r="L94" s="6" t="s">
        <v>624</v>
      </c>
      <c r="M94" s="6" t="s">
        <v>625</v>
      </c>
      <c r="N94" s="6" t="s">
        <v>217</v>
      </c>
      <c r="O94" s="6" t="s">
        <v>626</v>
      </c>
    </row>
    <row r="95" customFormat="false" ht="15" hidden="false" customHeight="false" outlineLevel="0" collapsed="false">
      <c r="A95" s="3" t="s">
        <v>627</v>
      </c>
      <c r="B95" s="3" t="s">
        <v>628</v>
      </c>
      <c r="C95" s="3" t="s">
        <v>19</v>
      </c>
      <c r="D95" s="3" t="s">
        <v>20</v>
      </c>
      <c r="E95" s="3" t="str">
        <f aca="false">IF(AND(A95&lt;&gt;"",B95&lt;&gt;"",D95&lt;&gt;""),UPPER(SUBSTITUTE(A95," ","-"))&amp;"-"&amp;UPPER(SUBSTITUTE(B95," ","-"))&amp;"-"&amp;UPPER(SUBSTITUTE(D95," ","-")),"")</f>
        <v>DIPTYQUE-PHILOSYKOS-100ML</v>
      </c>
      <c r="F95" s="3" t="s">
        <v>629</v>
      </c>
      <c r="G95" s="4" t="n">
        <v>150</v>
      </c>
      <c r="H95" s="4" t="n">
        <v>82</v>
      </c>
      <c r="I95" s="5" t="n">
        <v>13</v>
      </c>
      <c r="J95" s="6" t="s">
        <v>630</v>
      </c>
      <c r="K95" s="6" t="s">
        <v>631</v>
      </c>
      <c r="L95" s="6" t="s">
        <v>632</v>
      </c>
      <c r="M95" s="6" t="s">
        <v>633</v>
      </c>
      <c r="N95" s="6" t="s">
        <v>184</v>
      </c>
      <c r="O95" s="6" t="s">
        <v>634</v>
      </c>
    </row>
    <row r="96" customFormat="false" ht="15" hidden="false" customHeight="false" outlineLevel="0" collapsed="false">
      <c r="A96" s="3" t="s">
        <v>387</v>
      </c>
      <c r="B96" s="3" t="s">
        <v>635</v>
      </c>
      <c r="C96" s="3" t="s">
        <v>30</v>
      </c>
      <c r="D96" s="3" t="s">
        <v>389</v>
      </c>
      <c r="E96" s="3" t="str">
        <f aca="false">IF(AND(A96&lt;&gt;"",B96&lt;&gt;"",D96&lt;&gt;""),UPPER(SUBSTITUTE(A96," ","-"))&amp;"-"&amp;UPPER(SUBSTITUTE(B96," ","-"))&amp;"-"&amp;UPPER(SUBSTITUTE(D96," ","-")),"")</f>
        <v>MAISON-FRANCIS-KURKDJIAN-GRAND-SOIR-70ML</v>
      </c>
      <c r="F96" s="3" t="s">
        <v>636</v>
      </c>
      <c r="G96" s="4" t="n">
        <v>325</v>
      </c>
      <c r="H96" s="4" t="n">
        <v>179</v>
      </c>
      <c r="I96" s="5" t="n">
        <v>12</v>
      </c>
      <c r="J96" s="6" t="s">
        <v>48</v>
      </c>
      <c r="K96" s="6" t="s">
        <v>637</v>
      </c>
      <c r="L96" s="6" t="s">
        <v>638</v>
      </c>
      <c r="M96" s="6" t="s">
        <v>639</v>
      </c>
      <c r="N96" s="6" t="s">
        <v>184</v>
      </c>
      <c r="O96" s="6" t="s">
        <v>640</v>
      </c>
    </row>
    <row r="97" customFormat="false" ht="15" hidden="false" customHeight="false" outlineLevel="0" collapsed="false">
      <c r="A97" s="3" t="s">
        <v>151</v>
      </c>
      <c r="B97" s="3" t="s">
        <v>641</v>
      </c>
      <c r="C97" s="3" t="s">
        <v>30</v>
      </c>
      <c r="D97" s="3" t="s">
        <v>273</v>
      </c>
      <c r="E97" s="3" t="str">
        <f aca="false">IF(AND(A97&lt;&gt;"",B97&lt;&gt;"",D97&lt;&gt;""),UPPER(SUBSTITUTE(A97," ","-"))&amp;"-"&amp;UPPER(SUBSTITUTE(B97," ","-"))&amp;"-"&amp;UPPER(SUBSTITUTE(D97," ","-")),"")</f>
        <v>CAROLINA-HERRERA-212-VIP-ROSÉ-80ML</v>
      </c>
      <c r="F97" s="3" t="s">
        <v>642</v>
      </c>
      <c r="G97" s="4" t="n">
        <v>95</v>
      </c>
      <c r="H97" s="4" t="n">
        <v>52</v>
      </c>
      <c r="I97" s="5" t="n">
        <v>12</v>
      </c>
      <c r="J97" s="6" t="s">
        <v>221</v>
      </c>
      <c r="K97" s="6" t="s">
        <v>643</v>
      </c>
      <c r="L97" s="6" t="s">
        <v>644</v>
      </c>
      <c r="M97" s="6" t="s">
        <v>645</v>
      </c>
      <c r="N97" s="6" t="s">
        <v>217</v>
      </c>
      <c r="O97" s="6" t="s">
        <v>646</v>
      </c>
    </row>
    <row r="98" customFormat="false" ht="15" hidden="false" customHeight="false" outlineLevel="0" collapsed="false">
      <c r="A98" s="3" t="s">
        <v>17</v>
      </c>
      <c r="B98" s="3" t="s">
        <v>647</v>
      </c>
      <c r="C98" s="3" t="s">
        <v>19</v>
      </c>
      <c r="D98" s="3" t="s">
        <v>20</v>
      </c>
      <c r="E98" s="3" t="str">
        <f aca="false">IF(AND(A98&lt;&gt;"",B98&lt;&gt;"",D98&lt;&gt;""),UPPER(SUBSTITUTE(A98," ","-"))&amp;"-"&amp;UPPER(SUBSTITUTE(B98," ","-"))&amp;"-"&amp;UPPER(SUBSTITUTE(D98," ","-")),"")</f>
        <v>DIOR-HOMME-100ML</v>
      </c>
      <c r="F98" s="3" t="s">
        <v>648</v>
      </c>
      <c r="G98" s="4" t="n">
        <v>110</v>
      </c>
      <c r="H98" s="4" t="n">
        <v>61</v>
      </c>
      <c r="I98" s="5" t="n">
        <v>3</v>
      </c>
      <c r="J98" s="6" t="s">
        <v>32</v>
      </c>
      <c r="K98" s="6" t="s">
        <v>649</v>
      </c>
      <c r="L98" s="6" t="s">
        <v>650</v>
      </c>
      <c r="M98" s="6" t="s">
        <v>651</v>
      </c>
      <c r="N98" s="6" t="s">
        <v>26</v>
      </c>
      <c r="O98" s="6" t="s">
        <v>652</v>
      </c>
    </row>
    <row r="99" customFormat="false" ht="15" hidden="false" customHeight="false" outlineLevel="0" collapsed="false">
      <c r="A99" s="3" t="s">
        <v>653</v>
      </c>
      <c r="B99" s="3" t="s">
        <v>654</v>
      </c>
      <c r="C99" s="3" t="s">
        <v>30</v>
      </c>
      <c r="D99" s="3" t="s">
        <v>20</v>
      </c>
      <c r="E99" s="3" t="str">
        <f aca="false">IF(AND(A99&lt;&gt;"",B99&lt;&gt;"",D99&lt;&gt;""),UPPER(SUBSTITUTE(A99," ","-"))&amp;"-"&amp;UPPER(SUBSTITUTE(B99," ","-"))&amp;"-"&amp;UPPER(SUBSTITUTE(D99," ","-")),"")</f>
        <v>GUERLAIN-MON-GUERLAIN-100ML</v>
      </c>
      <c r="F99" s="3" t="s">
        <v>655</v>
      </c>
      <c r="G99" s="4" t="n">
        <v>110</v>
      </c>
      <c r="H99" s="4" t="n">
        <v>61</v>
      </c>
      <c r="I99" s="5" t="n">
        <v>11</v>
      </c>
      <c r="J99" s="6" t="s">
        <v>48</v>
      </c>
      <c r="K99" s="6" t="s">
        <v>656</v>
      </c>
      <c r="L99" s="6" t="s">
        <v>657</v>
      </c>
      <c r="M99" s="6" t="s">
        <v>112</v>
      </c>
      <c r="N99" s="6" t="s">
        <v>217</v>
      </c>
      <c r="O99" s="6" t="s">
        <v>658</v>
      </c>
    </row>
    <row r="100" customFormat="false" ht="15" hidden="false" customHeight="false" outlineLevel="0" collapsed="false">
      <c r="A100" s="3" t="s">
        <v>659</v>
      </c>
      <c r="B100" s="3" t="s">
        <v>660</v>
      </c>
      <c r="C100" s="3" t="s">
        <v>30</v>
      </c>
      <c r="D100" s="3" t="s">
        <v>179</v>
      </c>
      <c r="E100" s="3" t="str">
        <f aca="false">IF(AND(A100&lt;&gt;"",B100&lt;&gt;"",D100&lt;&gt;""),UPPER(SUBSTITUTE(A100," ","-"))&amp;"-"&amp;UPPER(SUBSTITUTE(B100," ","-"))&amp;"-"&amp;UPPER(SUBSTITUTE(D100," ","-")),"")</f>
        <v>KILIAN-ANGELS'-SHARE-50ML</v>
      </c>
      <c r="F100" s="3" t="s">
        <v>661</v>
      </c>
      <c r="G100" s="4" t="n">
        <v>290</v>
      </c>
      <c r="H100" s="4" t="n">
        <v>160</v>
      </c>
      <c r="I100" s="5" t="n">
        <v>12</v>
      </c>
      <c r="J100" s="6" t="s">
        <v>247</v>
      </c>
      <c r="K100" s="6" t="s">
        <v>662</v>
      </c>
      <c r="L100" s="6" t="s">
        <v>663</v>
      </c>
      <c r="M100" s="6" t="s">
        <v>664</v>
      </c>
      <c r="N100" s="6" t="s">
        <v>184</v>
      </c>
      <c r="O100" s="6" t="s">
        <v>665</v>
      </c>
    </row>
    <row r="101" customFormat="false" ht="15" hidden="false" customHeight="false" outlineLevel="0" collapsed="false">
      <c r="A101" s="3" t="s">
        <v>17</v>
      </c>
      <c r="B101" s="3" t="s">
        <v>666</v>
      </c>
      <c r="C101" s="3" t="s">
        <v>509</v>
      </c>
      <c r="D101" s="3" t="s">
        <v>667</v>
      </c>
      <c r="E101" s="3" t="str">
        <f aca="false">IF(AND(A101&lt;&gt;"",B101&lt;&gt;"",D101&lt;&gt;""),UPPER(SUBSTITUTE(A101," ","-"))&amp;"-"&amp;UPPER(SUBSTITUTE(B101," ","-"))&amp;"-"&amp;UPPER(SUBSTITUTE(D101," ","-")),"")</f>
        <v>DIOR-SAUVAGE-ELIXIR-60ML</v>
      </c>
      <c r="F101" s="3" t="s">
        <v>668</v>
      </c>
      <c r="G101" s="4" t="n">
        <v>165</v>
      </c>
      <c r="H101" s="4" t="n">
        <v>91</v>
      </c>
      <c r="I101" s="5" t="n">
        <v>4</v>
      </c>
      <c r="J101" s="6" t="s">
        <v>48</v>
      </c>
      <c r="K101" s="6" t="s">
        <v>669</v>
      </c>
      <c r="L101" s="6" t="s">
        <v>670</v>
      </c>
      <c r="M101" s="6" t="s">
        <v>671</v>
      </c>
      <c r="N101" s="6" t="s">
        <v>26</v>
      </c>
      <c r="O101" s="6" t="s">
        <v>672</v>
      </c>
    </row>
    <row r="102" customFormat="false" ht="15" hidden="false" customHeight="false" outlineLevel="0" collapsed="false">
      <c r="A102" s="3" t="s">
        <v>93</v>
      </c>
      <c r="B102" s="3" t="s">
        <v>673</v>
      </c>
      <c r="C102" s="3" t="s">
        <v>30</v>
      </c>
      <c r="D102" s="3" t="s">
        <v>20</v>
      </c>
      <c r="E102" s="3" t="str">
        <f aca="false">IF(AND(A102&lt;&gt;"",B102&lt;&gt;"",D102&lt;&gt;""),UPPER(SUBSTITUTE(A102," ","-"))&amp;"-"&amp;UPPER(SUBSTITUTE(B102," ","-"))&amp;"-"&amp;UPPER(SUBSTITUTE(D102," ","-")),"")</f>
        <v>YVES-SAINT-LAURENT-MYSLF-100ML</v>
      </c>
      <c r="F102" s="3" t="s">
        <v>674</v>
      </c>
      <c r="G102" s="4" t="n">
        <v>120</v>
      </c>
      <c r="H102" s="4" t="n">
        <v>66</v>
      </c>
      <c r="I102" s="5" t="n">
        <v>10</v>
      </c>
      <c r="J102" s="6" t="s">
        <v>221</v>
      </c>
      <c r="K102" s="6" t="s">
        <v>675</v>
      </c>
      <c r="L102" s="6" t="s">
        <v>676</v>
      </c>
      <c r="M102" s="6" t="s">
        <v>677</v>
      </c>
      <c r="N102" s="6" t="s">
        <v>26</v>
      </c>
      <c r="O102" s="6" t="s">
        <v>678</v>
      </c>
    </row>
    <row r="103" customFormat="false" ht="15" hidden="false" customHeight="false" outlineLevel="0" collapsed="false">
      <c r="A103" s="3"/>
      <c r="B103" s="3"/>
      <c r="C103" s="3"/>
      <c r="D103" s="3"/>
      <c r="E103" s="3" t="str">
        <f aca="false">IF(AND(A103&lt;&gt;"",B103&lt;&gt;"",D103&lt;&gt;""),UPPER(SUBSTITUTE(A103," ","-"))&amp;"-"&amp;UPPER(SUBSTITUTE(B103," ","-"))&amp;"-"&amp;UPPER(SUBSTITUTE(D103," ","-")),"")</f>
        <v/>
      </c>
      <c r="F103" s="3"/>
      <c r="G103" s="4"/>
      <c r="H103" s="4"/>
      <c r="I103" s="5"/>
      <c r="J103" s="6"/>
      <c r="K103" s="6"/>
      <c r="L103" s="6"/>
      <c r="M103" s="6"/>
      <c r="N103" s="6"/>
      <c r="O103" s="6"/>
    </row>
    <row r="104" customFormat="false" ht="15" hidden="false" customHeight="false" outlineLevel="0" collapsed="false">
      <c r="A104" s="3"/>
      <c r="B104" s="3"/>
      <c r="C104" s="3"/>
      <c r="D104" s="3"/>
      <c r="E104" s="3" t="str">
        <f aca="false">IF(AND(A104&lt;&gt;"",B104&lt;&gt;"",D104&lt;&gt;""),UPPER(SUBSTITUTE(A104," ","-"))&amp;"-"&amp;UPPER(SUBSTITUTE(B104," ","-"))&amp;"-"&amp;UPPER(SUBSTITUTE(D104," ","-")),"")</f>
        <v/>
      </c>
      <c r="F104" s="3"/>
      <c r="G104" s="4"/>
      <c r="H104" s="4"/>
      <c r="I104" s="5"/>
      <c r="J104" s="6"/>
      <c r="K104" s="6"/>
      <c r="L104" s="6"/>
      <c r="M104" s="6"/>
      <c r="N104" s="6"/>
      <c r="O104" s="6"/>
    </row>
    <row r="105" customFormat="false" ht="15" hidden="false" customHeight="false" outlineLevel="0" collapsed="false">
      <c r="A105" s="3"/>
      <c r="B105" s="3"/>
      <c r="C105" s="3"/>
      <c r="D105" s="3"/>
      <c r="E105" s="3" t="str">
        <f aca="false">IF(AND(A105&lt;&gt;"",B105&lt;&gt;"",D105&lt;&gt;""),UPPER(SUBSTITUTE(A105," ","-"))&amp;"-"&amp;UPPER(SUBSTITUTE(B105," ","-"))&amp;"-"&amp;UPPER(SUBSTITUTE(D105," ","-")),"")</f>
        <v/>
      </c>
      <c r="F105" s="3"/>
      <c r="G105" s="4"/>
      <c r="H105" s="4"/>
      <c r="I105" s="5"/>
      <c r="J105" s="6"/>
      <c r="K105" s="6"/>
      <c r="L105" s="6"/>
      <c r="M105" s="6"/>
      <c r="N105" s="6"/>
      <c r="O105" s="6"/>
    </row>
    <row r="106" customFormat="false" ht="15" hidden="false" customHeight="false" outlineLevel="0" collapsed="false">
      <c r="A106" s="3"/>
      <c r="B106" s="3"/>
      <c r="C106" s="3"/>
      <c r="D106" s="3"/>
      <c r="E106" s="3" t="str">
        <f aca="false">IF(AND(A106&lt;&gt;"",B106&lt;&gt;"",D106&lt;&gt;""),UPPER(SUBSTITUTE(A106," ","-"))&amp;"-"&amp;UPPER(SUBSTITUTE(B106," ","-"))&amp;"-"&amp;UPPER(SUBSTITUTE(D106," ","-")),"")</f>
        <v/>
      </c>
      <c r="F106" s="3"/>
      <c r="G106" s="4"/>
      <c r="H106" s="4"/>
      <c r="I106" s="5"/>
      <c r="J106" s="6"/>
      <c r="K106" s="6"/>
      <c r="L106" s="6"/>
      <c r="M106" s="6"/>
      <c r="N106" s="6"/>
      <c r="O106" s="6"/>
    </row>
    <row r="107" customFormat="false" ht="15" hidden="false" customHeight="false" outlineLevel="0" collapsed="false">
      <c r="A107" s="3"/>
      <c r="B107" s="3"/>
      <c r="C107" s="3"/>
      <c r="D107" s="3"/>
      <c r="E107" s="3" t="str">
        <f aca="false">IF(AND(A107&lt;&gt;"",B107&lt;&gt;"",D107&lt;&gt;""),UPPER(SUBSTITUTE(A107," ","-"))&amp;"-"&amp;UPPER(SUBSTITUTE(B107," ","-"))&amp;"-"&amp;UPPER(SUBSTITUTE(D107," ","-")),"")</f>
        <v/>
      </c>
      <c r="F107" s="3"/>
      <c r="G107" s="4"/>
      <c r="H107" s="4"/>
      <c r="I107" s="5"/>
      <c r="J107" s="6"/>
      <c r="K107" s="6"/>
      <c r="L107" s="6"/>
      <c r="M107" s="6"/>
      <c r="N107" s="6"/>
      <c r="O107" s="6"/>
    </row>
    <row r="108" customFormat="false" ht="15" hidden="false" customHeight="false" outlineLevel="0" collapsed="false">
      <c r="A108" s="3"/>
      <c r="B108" s="3"/>
      <c r="C108" s="3"/>
      <c r="D108" s="3"/>
      <c r="E108" s="3" t="str">
        <f aca="false">IF(AND(A108&lt;&gt;"",B108&lt;&gt;"",D108&lt;&gt;""),UPPER(SUBSTITUTE(A108," ","-"))&amp;"-"&amp;UPPER(SUBSTITUTE(B108," ","-"))&amp;"-"&amp;UPPER(SUBSTITUTE(D108," ","-")),"")</f>
        <v/>
      </c>
      <c r="F108" s="3"/>
      <c r="G108" s="4"/>
      <c r="H108" s="4"/>
      <c r="I108" s="5"/>
      <c r="J108" s="6"/>
      <c r="K108" s="6"/>
      <c r="L108" s="6"/>
      <c r="M108" s="6"/>
      <c r="N108" s="6"/>
      <c r="O108" s="6"/>
    </row>
    <row r="109" customFormat="false" ht="15" hidden="false" customHeight="false" outlineLevel="0" collapsed="false">
      <c r="A109" s="3"/>
      <c r="B109" s="3"/>
      <c r="C109" s="3"/>
      <c r="D109" s="3"/>
      <c r="E109" s="3" t="str">
        <f aca="false">IF(AND(A109&lt;&gt;"",B109&lt;&gt;"",D109&lt;&gt;""),UPPER(SUBSTITUTE(A109," ","-"))&amp;"-"&amp;UPPER(SUBSTITUTE(B109," ","-"))&amp;"-"&amp;UPPER(SUBSTITUTE(D109," ","-")),"")</f>
        <v/>
      </c>
      <c r="F109" s="3"/>
      <c r="G109" s="4"/>
      <c r="H109" s="4"/>
      <c r="I109" s="5"/>
      <c r="J109" s="6"/>
      <c r="K109" s="6"/>
      <c r="L109" s="6"/>
      <c r="M109" s="6"/>
      <c r="N109" s="6"/>
      <c r="O109" s="6"/>
    </row>
    <row r="110" customFormat="false" ht="15" hidden="false" customHeight="false" outlineLevel="0" collapsed="false">
      <c r="A110" s="3"/>
      <c r="B110" s="3"/>
      <c r="C110" s="3"/>
      <c r="D110" s="3"/>
      <c r="E110" s="3" t="str">
        <f aca="false">IF(AND(A110&lt;&gt;"",B110&lt;&gt;"",D110&lt;&gt;""),UPPER(SUBSTITUTE(A110," ","-"))&amp;"-"&amp;UPPER(SUBSTITUTE(B110," ","-"))&amp;"-"&amp;UPPER(SUBSTITUTE(D110," ","-")),"")</f>
        <v/>
      </c>
      <c r="F110" s="3"/>
      <c r="G110" s="4"/>
      <c r="H110" s="4"/>
      <c r="I110" s="5"/>
      <c r="J110" s="6"/>
      <c r="K110" s="6"/>
      <c r="L110" s="6"/>
      <c r="M110" s="6"/>
      <c r="N110" s="6"/>
      <c r="O110" s="6"/>
    </row>
    <row r="111" customFormat="false" ht="15" hidden="false" customHeight="false" outlineLevel="0" collapsed="false">
      <c r="A111" s="3"/>
      <c r="B111" s="3"/>
      <c r="C111" s="3"/>
      <c r="D111" s="3"/>
      <c r="E111" s="3" t="str">
        <f aca="false">IF(AND(A111&lt;&gt;"",B111&lt;&gt;"",D111&lt;&gt;""),UPPER(SUBSTITUTE(A111," ","-"))&amp;"-"&amp;UPPER(SUBSTITUTE(B111," ","-"))&amp;"-"&amp;UPPER(SUBSTITUTE(D111," ","-")),"")</f>
        <v/>
      </c>
      <c r="F111" s="3"/>
      <c r="G111" s="4"/>
      <c r="H111" s="4"/>
      <c r="I111" s="5"/>
      <c r="J111" s="6"/>
      <c r="K111" s="6"/>
      <c r="L111" s="6"/>
      <c r="M111" s="6"/>
      <c r="N111" s="6"/>
      <c r="O111" s="6"/>
    </row>
    <row r="112" customFormat="false" ht="15" hidden="false" customHeight="false" outlineLevel="0" collapsed="false">
      <c r="A112" s="3"/>
      <c r="B112" s="3"/>
      <c r="C112" s="3"/>
      <c r="D112" s="3"/>
      <c r="E112" s="3" t="str">
        <f aca="false">IF(AND(A112&lt;&gt;"",B112&lt;&gt;"",D112&lt;&gt;""),UPPER(SUBSTITUTE(A112," ","-"))&amp;"-"&amp;UPPER(SUBSTITUTE(B112," ","-"))&amp;"-"&amp;UPPER(SUBSTITUTE(D112," ","-")),"")</f>
        <v/>
      </c>
      <c r="F112" s="3"/>
      <c r="G112" s="4"/>
      <c r="H112" s="4"/>
      <c r="I112" s="5"/>
      <c r="J112" s="6"/>
      <c r="K112" s="6"/>
      <c r="L112" s="6"/>
      <c r="M112" s="6"/>
      <c r="N112" s="6"/>
      <c r="O112" s="6"/>
    </row>
    <row r="113" customFormat="false" ht="15" hidden="false" customHeight="false" outlineLevel="0" collapsed="false">
      <c r="A113" s="3"/>
      <c r="B113" s="3"/>
      <c r="C113" s="3"/>
      <c r="D113" s="3"/>
      <c r="E113" s="3" t="str">
        <f aca="false">IF(AND(A113&lt;&gt;"",B113&lt;&gt;"",D113&lt;&gt;""),UPPER(SUBSTITUTE(A113," ","-"))&amp;"-"&amp;UPPER(SUBSTITUTE(B113," ","-"))&amp;"-"&amp;UPPER(SUBSTITUTE(D113," ","-")),"")</f>
        <v/>
      </c>
      <c r="F113" s="3"/>
      <c r="G113" s="4"/>
      <c r="H113" s="4"/>
      <c r="I113" s="5"/>
      <c r="J113" s="6"/>
      <c r="K113" s="6"/>
      <c r="L113" s="6"/>
      <c r="M113" s="6"/>
      <c r="N113" s="6"/>
      <c r="O113" s="6"/>
    </row>
    <row r="114" customFormat="false" ht="15" hidden="false" customHeight="false" outlineLevel="0" collapsed="false">
      <c r="A114" s="3"/>
      <c r="B114" s="3"/>
      <c r="C114" s="3"/>
      <c r="D114" s="3"/>
      <c r="E114" s="3" t="str">
        <f aca="false">IF(AND(A114&lt;&gt;"",B114&lt;&gt;"",D114&lt;&gt;""),UPPER(SUBSTITUTE(A114," ","-"))&amp;"-"&amp;UPPER(SUBSTITUTE(B114," ","-"))&amp;"-"&amp;UPPER(SUBSTITUTE(D114," ","-")),"")</f>
        <v/>
      </c>
      <c r="F114" s="3"/>
      <c r="G114" s="4"/>
      <c r="H114" s="4"/>
      <c r="I114" s="5"/>
      <c r="J114" s="6"/>
      <c r="K114" s="6"/>
      <c r="L114" s="6"/>
      <c r="M114" s="6"/>
      <c r="N114" s="6"/>
      <c r="O114" s="6"/>
    </row>
    <row r="115" customFormat="false" ht="15" hidden="false" customHeight="false" outlineLevel="0" collapsed="false">
      <c r="A115" s="3"/>
      <c r="B115" s="3"/>
      <c r="C115" s="3"/>
      <c r="D115" s="3"/>
      <c r="E115" s="3" t="str">
        <f aca="false">IF(AND(A115&lt;&gt;"",B115&lt;&gt;"",D115&lt;&gt;""),UPPER(SUBSTITUTE(A115," ","-"))&amp;"-"&amp;UPPER(SUBSTITUTE(B115," ","-"))&amp;"-"&amp;UPPER(SUBSTITUTE(D115," ","-")),"")</f>
        <v/>
      </c>
      <c r="F115" s="3"/>
      <c r="G115" s="4"/>
      <c r="H115" s="4"/>
      <c r="I115" s="5"/>
      <c r="J115" s="6"/>
      <c r="K115" s="6"/>
      <c r="L115" s="6"/>
      <c r="M115" s="6"/>
      <c r="N115" s="6"/>
      <c r="O115" s="6"/>
    </row>
    <row r="116" customFormat="false" ht="15" hidden="false" customHeight="false" outlineLevel="0" collapsed="false">
      <c r="A116" s="3"/>
      <c r="B116" s="3"/>
      <c r="C116" s="3"/>
      <c r="D116" s="3"/>
      <c r="E116" s="3" t="str">
        <f aca="false">IF(AND(A116&lt;&gt;"",B116&lt;&gt;"",D116&lt;&gt;""),UPPER(SUBSTITUTE(A116," ","-"))&amp;"-"&amp;UPPER(SUBSTITUTE(B116," ","-"))&amp;"-"&amp;UPPER(SUBSTITUTE(D116," ","-")),"")</f>
        <v/>
      </c>
      <c r="F116" s="3"/>
      <c r="G116" s="4"/>
      <c r="H116" s="4"/>
      <c r="I116" s="5"/>
      <c r="J116" s="6"/>
      <c r="K116" s="6"/>
      <c r="L116" s="6"/>
      <c r="M116" s="6"/>
      <c r="N116" s="6"/>
      <c r="O116" s="6"/>
    </row>
    <row r="117" customFormat="false" ht="15" hidden="false" customHeight="false" outlineLevel="0" collapsed="false">
      <c r="A117" s="3"/>
      <c r="B117" s="3"/>
      <c r="C117" s="3"/>
      <c r="D117" s="3"/>
      <c r="E117" s="3" t="str">
        <f aca="false">IF(AND(A117&lt;&gt;"",B117&lt;&gt;"",D117&lt;&gt;""),UPPER(SUBSTITUTE(A117," ","-"))&amp;"-"&amp;UPPER(SUBSTITUTE(B117," ","-"))&amp;"-"&amp;UPPER(SUBSTITUTE(D117," ","-")),"")</f>
        <v/>
      </c>
      <c r="F117" s="3"/>
      <c r="G117" s="4"/>
      <c r="H117" s="4"/>
      <c r="I117" s="5"/>
      <c r="J117" s="6"/>
      <c r="K117" s="6"/>
      <c r="L117" s="6"/>
      <c r="M117" s="6"/>
      <c r="N117" s="6"/>
      <c r="O117" s="6"/>
    </row>
  </sheetData>
  <autoFilter ref="A2:O2"/>
  <dataValidations count="3">
    <dataValidation allowBlank="true" errorStyle="stop" operator="between" showDropDown="false" showErrorMessage="false" showInputMessage="false" sqref="C3:C117" type="list">
      <formula1>"EDP,EDT,EDC,Parfum,Eau Fraiche,Cologne"</formula1>
      <formula2>0</formula2>
    </dataValidation>
    <dataValidation allowBlank="true" errorStyle="stop" operator="between" showDropDown="false" showErrorMessage="false" showInputMessage="false" sqref="J3:J117" type="list">
      <formula1>"Citrus,Floral,Woody,Amber/Oriental,Fresh/Aquatic,Gourmand,Fougère,Chypre,Aromatic,Green,Leather,Spicy"</formula1>
      <formula2>0</formula2>
    </dataValidation>
    <dataValidation allowBlank="true" errorStyle="stop" operator="between" showDropDown="false" showErrorMessage="false" showInputMessage="false" sqref="N3:N117" type="list">
      <formula1>"Masculine,Feminine,Unisex"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7" t="s">
        <v>679</v>
      </c>
    </row>
    <row r="2" customFormat="false" ht="15" hidden="false" customHeight="false" outlineLevel="0" collapsed="false">
      <c r="A2" s="8"/>
    </row>
    <row r="3" customFormat="false" ht="26.85" hidden="false" customHeight="false" outlineLevel="0" collapsed="false">
      <c r="A3" s="8" t="s">
        <v>680</v>
      </c>
    </row>
    <row r="4" customFormat="false" ht="15" hidden="false" customHeight="false" outlineLevel="0" collapsed="false">
      <c r="A4" s="8"/>
    </row>
    <row r="5" customFormat="false" ht="15" hidden="false" customHeight="false" outlineLevel="0" collapsed="false">
      <c r="A5" s="9" t="s">
        <v>681</v>
      </c>
    </row>
    <row r="6" customFormat="false" ht="15" hidden="false" customHeight="false" outlineLevel="0" collapsed="false">
      <c r="A6" s="8" t="s">
        <v>682</v>
      </c>
    </row>
    <row r="7" customFormat="false" ht="15" hidden="false" customHeight="false" outlineLevel="0" collapsed="false">
      <c r="A7" s="8" t="s">
        <v>683</v>
      </c>
    </row>
    <row r="8" customFormat="false" ht="15" hidden="false" customHeight="false" outlineLevel="0" collapsed="false">
      <c r="A8" s="8" t="s">
        <v>684</v>
      </c>
    </row>
    <row r="9" customFormat="false" ht="26.85" hidden="false" customHeight="false" outlineLevel="0" collapsed="false">
      <c r="A9" s="8" t="s">
        <v>685</v>
      </c>
    </row>
    <row r="10" customFormat="false" ht="15" hidden="false" customHeight="false" outlineLevel="0" collapsed="false">
      <c r="A10" s="8" t="s">
        <v>686</v>
      </c>
    </row>
    <row r="11" customFormat="false" ht="15" hidden="false" customHeight="false" outlineLevel="0" collapsed="false">
      <c r="A11" s="8" t="s">
        <v>687</v>
      </c>
    </row>
    <row r="12" customFormat="false" ht="15" hidden="false" customHeight="false" outlineLevel="0" collapsed="false">
      <c r="A12" s="8"/>
    </row>
    <row r="13" customFormat="false" ht="15" hidden="false" customHeight="false" outlineLevel="0" collapsed="false">
      <c r="A13" s="8" t="s">
        <v>688</v>
      </c>
    </row>
    <row r="14" customFormat="false" ht="15" hidden="false" customHeight="false" outlineLevel="0" collapsed="false">
      <c r="A14" s="8" t="s">
        <v>689</v>
      </c>
    </row>
    <row r="15" customFormat="false" ht="15" hidden="false" customHeight="false" outlineLevel="0" collapsed="false">
      <c r="A15" s="8" t="s">
        <v>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2026-07-01T17:56:12Z</dcterms:created>
  <dc:creator>openpyxl</dc:creator>
  <dc:description/>
  <dc:language>en-US</dc:language>
  <cp:lastModifiedBy/>
  <dcterms:modified xsi:type="dcterms:W3CDTF">2026-07-01T17:56:12Z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