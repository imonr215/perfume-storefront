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Inventory" sheetId="1" state="visible" r:id="rId1"/>
    <sheet name="How to fill this in" sheetId="2" state="visible" r:id="rId2"/>
  </sheets>
  <definedNames>
    <definedName name="_xlnm._FilterDatabase" localSheetId="0" hidden="1">'Inventory'!$A$2:$O$2</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0"/>
  </numFmts>
  <fonts count="10">
    <font>
      <name val="Calibri"/>
      <charset val="1"/>
      <family val="2"/>
      <color theme="1"/>
      <sz val="11"/>
    </font>
    <font>
      <name val="Arial"/>
      <family val="0"/>
      <sz val="10"/>
    </font>
    <font>
      <name val="Arial"/>
      <family val="0"/>
      <sz val="10"/>
    </font>
    <font>
      <name val="Arial"/>
      <family val="0"/>
      <sz val="10"/>
    </font>
    <font>
      <name val="Arial"/>
      <charset val="1"/>
      <family val="0"/>
      <i val="1"/>
      <color rgb="FF7A6A58"/>
      <sz val="9"/>
    </font>
    <font>
      <name val="Arial"/>
      <charset val="1"/>
      <family val="0"/>
      <b val="1"/>
      <color rgb="FFFFFFFF"/>
      <sz val="11"/>
    </font>
    <font>
      <name val="Arial"/>
      <charset val="1"/>
      <family val="0"/>
      <sz val="10"/>
    </font>
    <font>
      <name val="Arial"/>
      <charset val="1"/>
      <family val="0"/>
      <b val="1"/>
      <color rgb="FFB5651D"/>
      <sz val="13"/>
    </font>
    <font>
      <name val="Arial"/>
      <charset val="1"/>
      <family val="0"/>
      <color rgb="FF000000"/>
      <sz val="11"/>
    </font>
    <font>
      <name val="Arial"/>
      <charset val="1"/>
      <family val="0"/>
      <b val="1"/>
      <color rgb="FF000000"/>
      <sz val="11"/>
    </font>
  </fonts>
  <fills count="5">
    <fill>
      <patternFill/>
    </fill>
    <fill>
      <patternFill patternType="gray125"/>
    </fill>
    <fill>
      <patternFill patternType="solid">
        <fgColor rgb="FFB5651D"/>
        <bgColor rgb="FF7A6A58"/>
      </patternFill>
    </fill>
    <fill>
      <patternFill patternType="solid">
        <fgColor rgb="FFF0E6D8"/>
        <bgColor rgb="FFE6D3C3"/>
      </patternFill>
    </fill>
    <fill>
      <patternFill patternType="solid">
        <fgColor rgb="FFE6D3C3"/>
        <bgColor rgb="FFD9C9B6"/>
      </patternFill>
    </fill>
  </fills>
  <borders count="2">
    <border>
      <left/>
      <right/>
      <top/>
      <bottom/>
      <diagonal/>
    </border>
    <border>
      <left style="thin">
        <color rgb="FFD9C9B6"/>
      </left>
      <right style="thin">
        <color rgb="FFD9C9B6"/>
      </right>
      <top style="thin">
        <color rgb="FFD9C9B6"/>
      </top>
      <bottom style="thin">
        <color rgb="FFD9C9B6"/>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1">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6" fillId="3" borderId="1" applyAlignment="1" pivotButton="0" quotePrefix="0" xfId="0">
      <alignment horizontal="general" vertical="bottom"/>
    </xf>
    <xf numFmtId="164" fontId="6" fillId="3" borderId="1" applyAlignment="1" pivotButton="0" quotePrefix="0" xfId="0">
      <alignment horizontal="general" vertical="bottom"/>
    </xf>
    <xf numFmtId="1" fontId="6" fillId="3" borderId="1" applyAlignment="1" pivotButton="0" quotePrefix="0" xfId="0">
      <alignment horizontal="general" vertical="bottom"/>
    </xf>
    <xf numFmtId="0" fontId="6" fillId="4" borderId="1"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6" fillId="3" borderId="1" applyAlignment="1" pivotButton="0" quotePrefix="0" xfId="0">
      <alignment horizontal="general" vertical="bottom"/>
    </xf>
    <xf numFmtId="164" fontId="6" fillId="3" borderId="1" applyAlignment="1" pivotButton="0" quotePrefix="0" xfId="0">
      <alignment horizontal="general" vertical="bottom"/>
    </xf>
    <xf numFmtId="1" fontId="6" fillId="3" borderId="1" applyAlignment="1" pivotButton="0" quotePrefix="0" xfId="0">
      <alignment horizontal="general" vertical="bottom"/>
    </xf>
    <xf numFmtId="0" fontId="6" fillId="4" borderId="1"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B5651D"/>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5651D"/>
      <rgbColor rgb="FF800080"/>
      <rgbColor rgb="FF008080"/>
      <rgbColor rgb="FFD9C9B6"/>
      <rgbColor rgb="FF7A6A58"/>
      <rgbColor rgb="FF9999FF"/>
      <rgbColor rgb="FF993366"/>
      <rgbColor rgb="FFF0E6D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E6D3C3"/>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O117"/>
  <sheetViews>
    <sheetView showFormulas="0" showGridLines="1" showRowColHeaders="1" showZeros="1" rightToLeft="0" tabSelected="1"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0" min="1" max="1"/>
    <col width="26" customWidth="1" style="10" min="2" max="2"/>
    <col width="14" customWidth="1" style="10" min="3" max="3"/>
    <col width="10" customWidth="1" style="10" min="4" max="4"/>
    <col width="30" customWidth="1" style="10" min="5" max="5"/>
    <col width="16" customWidth="1" style="10" min="6" max="6"/>
    <col width="11" customWidth="1" style="10" min="7" max="8"/>
    <col width="12" customWidth="1" style="10" min="9" max="9"/>
    <col width="16" customWidth="1" style="10" min="10" max="10"/>
    <col width="26" customWidth="1" style="10" min="11" max="13"/>
    <col width="12" customWidth="1" style="10" min="14" max="14"/>
    <col width="46" customWidth="1" style="10" min="15" max="15"/>
  </cols>
  <sheetData>
    <row r="1" ht="15" customHeight="1" s="11">
      <c r="A1" s="12" t="inlineStr">
        <is>
          <t>Catalog fields (go into Square)</t>
        </is>
      </c>
      <c r="J1" s="12" t="inlineStr">
        <is>
          <t>Scent fields (power recommendations)</t>
        </is>
      </c>
    </row>
    <row r="2" ht="30" customHeight="1" s="11">
      <c r="A2" s="13" t="inlineStr">
        <is>
          <t>Brand</t>
        </is>
      </c>
      <c r="B2" s="13" t="inlineStr">
        <is>
          <t>Product Name</t>
        </is>
      </c>
      <c r="C2" s="13" t="inlineStr">
        <is>
          <t>Concentration</t>
        </is>
      </c>
      <c r="D2" s="13" t="inlineStr">
        <is>
          <t>Size</t>
        </is>
      </c>
      <c r="E2" s="13" t="inlineStr">
        <is>
          <t>SKU (auto)</t>
        </is>
      </c>
      <c r="F2" s="13" t="inlineStr">
        <is>
          <t>Barcode / UPC</t>
        </is>
      </c>
      <c r="G2" s="13" t="inlineStr">
        <is>
          <t>Price ($)</t>
        </is>
      </c>
      <c r="H2" s="13" t="inlineStr">
        <is>
          <t>Cost ($)</t>
        </is>
      </c>
      <c r="I2" s="13" t="inlineStr">
        <is>
          <t>Qty on Hand</t>
        </is>
      </c>
      <c r="J2" s="13" t="inlineStr">
        <is>
          <t>Scent Family</t>
        </is>
      </c>
      <c r="K2" s="13" t="inlineStr">
        <is>
          <t>Top Notes</t>
        </is>
      </c>
      <c r="L2" s="13" t="inlineStr">
        <is>
          <t>Heart Notes</t>
        </is>
      </c>
      <c r="M2" s="13" t="inlineStr">
        <is>
          <t>Base Notes</t>
        </is>
      </c>
      <c r="N2" s="13" t="inlineStr">
        <is>
          <t>Gender</t>
        </is>
      </c>
      <c r="O2" s="13" t="inlineStr">
        <is>
          <t>Description (optional)</t>
        </is>
      </c>
    </row>
    <row r="3" ht="15" customHeight="1" s="11">
      <c r="A3" s="14" t="inlineStr">
        <is>
          <t>Dior</t>
        </is>
      </c>
      <c r="B3" s="14" t="inlineStr">
        <is>
          <t>Sauvage</t>
        </is>
      </c>
      <c r="C3" s="14" t="inlineStr">
        <is>
          <t>EDT</t>
        </is>
      </c>
      <c r="D3" s="14" t="inlineStr">
        <is>
          <t>100ml</t>
        </is>
      </c>
      <c r="E3" s="14">
        <f>IF(AND(A3&lt;&gt;"",B3&lt;&gt;"",D3&lt;&gt;""),UPPER(SUBSTITUTE(A3," ","-"))&amp;"-"&amp;UPPER(SUBSTITUTE(B3," ","-"))&amp;"-"&amp;UPPER(SUBSTITUTE(D3," ","-")),"")</f>
        <v/>
      </c>
      <c r="F3" s="14" t="inlineStr">
        <is>
          <t>200100000000</t>
        </is>
      </c>
      <c r="G3" s="15" t="n">
        <v>110</v>
      </c>
      <c r="H3" s="15" t="n">
        <v>61</v>
      </c>
      <c r="I3" s="16" t="n">
        <v>12</v>
      </c>
      <c r="J3" s="17" t="inlineStr">
        <is>
          <t>Aromatic</t>
        </is>
      </c>
      <c r="K3" s="17" t="inlineStr">
        <is>
          <t>Bergamot, Pepper</t>
        </is>
      </c>
      <c r="L3" s="17" t="inlineStr">
        <is>
          <t>Sichuan Pepper, Lavender, Star Anise</t>
        </is>
      </c>
      <c r="M3" s="17" t="inlineStr">
        <is>
          <t>Ambroxan, Cedar, Labdanum</t>
        </is>
      </c>
      <c r="N3" s="17" t="inlineStr">
        <is>
          <t>Masculine</t>
        </is>
      </c>
      <c r="O3" s="17" t="inlineStr">
        <is>
          <t>Opens with bergamot and pepper, moves through sichuan pepper and lavender, settles into ambroxan and cedar. Sharp and green-tinged, built for movement. An easy, no-fuss pick for daily wear, light enough for daytime, with a few hours of wear.</t>
        </is>
      </c>
    </row>
    <row r="4" ht="15" customHeight="1" s="11">
      <c r="A4" s="14" t="inlineStr">
        <is>
          <t>Chanel</t>
        </is>
      </c>
      <c r="B4" s="14" t="inlineStr">
        <is>
          <t>Bleu de Chanel</t>
        </is>
      </c>
      <c r="C4" s="14" t="inlineStr">
        <is>
          <t>EDP</t>
        </is>
      </c>
      <c r="D4" s="14" t="inlineStr">
        <is>
          <t>100ml</t>
        </is>
      </c>
      <c r="E4" s="14">
        <f>IF(AND(A4&lt;&gt;"",B4&lt;&gt;"",D4&lt;&gt;""),UPPER(SUBSTITUTE(A4," ","-"))&amp;"-"&amp;UPPER(SUBSTITUTE(B4," ","-"))&amp;"-"&amp;UPPER(SUBSTITUTE(D4," ","-")),"")</f>
        <v/>
      </c>
      <c r="F4" s="14" t="inlineStr">
        <is>
          <t>200100000137</t>
        </is>
      </c>
      <c r="G4" s="15" t="n">
        <v>135</v>
      </c>
      <c r="H4" s="15" t="n">
        <v>74</v>
      </c>
      <c r="I4" s="16" t="n">
        <v>3</v>
      </c>
      <c r="J4" s="17" t="inlineStr">
        <is>
          <t>Woody</t>
        </is>
      </c>
      <c r="K4" s="17" t="inlineStr">
        <is>
          <t>Grapefruit, Lemon, Mint</t>
        </is>
      </c>
      <c r="L4" s="17" t="inlineStr">
        <is>
          <t>Ginger, Nutmeg, Jasmine</t>
        </is>
      </c>
      <c r="M4" s="17" t="inlineStr">
        <is>
          <t>Incense, Cedar, Sandalwood</t>
        </is>
      </c>
      <c r="N4" s="17" t="inlineStr">
        <is>
          <t>Masculine</t>
        </is>
      </c>
      <c r="O4" s="17" t="inlineStr">
        <is>
          <t>Opens with grapefruit, lemon and mint, moves through ginger and nutmeg, settles into incense and cedar. Smooth and confident, fills a room quietly. An easy, no-fuss pick for daily wear, concentrated enough to carry into the evening.</t>
        </is>
      </c>
    </row>
    <row r="5" ht="15" customHeight="1" s="11">
      <c r="A5" s="14" t="inlineStr">
        <is>
          <t>Creed</t>
        </is>
      </c>
      <c r="B5" s="14" t="inlineStr">
        <is>
          <t>Aventus</t>
        </is>
      </c>
      <c r="C5" s="14" t="inlineStr">
        <is>
          <t>EDP</t>
        </is>
      </c>
      <c r="D5" s="14" t="inlineStr">
        <is>
          <t>100ml</t>
        </is>
      </c>
      <c r="E5" s="14">
        <f>IF(AND(A5&lt;&gt;"",B5&lt;&gt;"",D5&lt;&gt;""),UPPER(SUBSTITUTE(A5," ","-"))&amp;"-"&amp;UPPER(SUBSTITUTE(B5," ","-"))&amp;"-"&amp;UPPER(SUBSTITUTE(D5," ","-")),"")</f>
        <v/>
      </c>
      <c r="F5" s="14" t="inlineStr">
        <is>
          <t>200100000274</t>
        </is>
      </c>
      <c r="G5" s="15" t="n">
        <v>445</v>
      </c>
      <c r="H5" s="15" t="n">
        <v>245</v>
      </c>
      <c r="I5" s="16" t="n">
        <v>2</v>
      </c>
      <c r="J5" s="17" t="inlineStr">
        <is>
          <t>Chypre</t>
        </is>
      </c>
      <c r="K5" s="17" t="inlineStr">
        <is>
          <t>Pineapple, Bergamot, Blackcurrant, Apple</t>
        </is>
      </c>
      <c r="L5" s="17" t="inlineStr">
        <is>
          <t>Birch, Patchouli, Jasmine</t>
        </is>
      </c>
      <c r="M5" s="17" t="inlineStr">
        <is>
          <t>Musk, Oakmoss, Vanilla</t>
        </is>
      </c>
      <c r="N5" s="17" t="inlineStr">
        <is>
          <t>Masculine</t>
        </is>
      </c>
      <c r="O5" s="17" t="inlineStr">
        <is>
          <t>Opens with pineapple, bergamot and blackcurrant, moves through birch and patchouli, settles into musk and oakmoss. Structured and sophisticated, rewards a second sniff. A confident one-bottle-does-it-all choice, concentrated enough to carry into the evening.</t>
        </is>
      </c>
    </row>
    <row r="6" ht="15" customHeight="1" s="11">
      <c r="A6" s="14" t="inlineStr">
        <is>
          <t>Paco Rabanne</t>
        </is>
      </c>
      <c r="B6" s="14" t="inlineStr">
        <is>
          <t>1 Million</t>
        </is>
      </c>
      <c r="C6" s="14" t="inlineStr">
        <is>
          <t>EDT</t>
        </is>
      </c>
      <c r="D6" s="14" t="inlineStr">
        <is>
          <t>100ml</t>
        </is>
      </c>
      <c r="E6" s="14">
        <f>IF(AND(A6&lt;&gt;"",B6&lt;&gt;"",D6&lt;&gt;""),UPPER(SUBSTITUTE(A6," ","-"))&amp;"-"&amp;UPPER(SUBSTITUTE(B6," ","-"))&amp;"-"&amp;UPPER(SUBSTITUTE(D6," ","-")),"")</f>
        <v/>
      </c>
      <c r="F6" s="14" t="inlineStr">
        <is>
          <t>200100000411</t>
        </is>
      </c>
      <c r="G6" s="15" t="n">
        <v>95</v>
      </c>
      <c r="H6" s="15" t="n">
        <v>52</v>
      </c>
      <c r="I6" s="16" t="n">
        <v>13</v>
      </c>
      <c r="J6" s="17" t="inlineStr">
        <is>
          <t>Amber/Oriental</t>
        </is>
      </c>
      <c r="K6" s="17" t="inlineStr">
        <is>
          <t>Grapefruit, Mint, Blood Mandarin</t>
        </is>
      </c>
      <c r="L6" s="17" t="inlineStr">
        <is>
          <t>Rose, Cinnamon, Spices</t>
        </is>
      </c>
      <c r="M6" s="17" t="inlineStr">
        <is>
          <t>Leather, Amber, Woody Notes</t>
        </is>
      </c>
      <c r="N6" s="17" t="inlineStr">
        <is>
          <t>Masculine</t>
        </is>
      </c>
      <c r="O6" s="17" t="inlineStr">
        <is>
          <t>Opens with grapefruit, mint and blood mandarin, moves through rose and cinnamon, settles into leather and amber. Rich and enveloping, built for cooler nights. An easy, no-fuss pick for daily wear, light enough for daytime, with a few hours of wear.</t>
        </is>
      </c>
    </row>
    <row r="7" ht="15" customHeight="1" s="11">
      <c r="A7" s="14" t="inlineStr">
        <is>
          <t>Paco Rabanne</t>
        </is>
      </c>
      <c r="B7" s="14" t="inlineStr">
        <is>
          <t>Invictus</t>
        </is>
      </c>
      <c r="C7" s="14" t="inlineStr">
        <is>
          <t>EDT</t>
        </is>
      </c>
      <c r="D7" s="14" t="inlineStr">
        <is>
          <t>100ml</t>
        </is>
      </c>
      <c r="E7" s="14">
        <f>IF(AND(A7&lt;&gt;"",B7&lt;&gt;"",D7&lt;&gt;""),UPPER(SUBSTITUTE(A7," ","-"))&amp;"-"&amp;UPPER(SUBSTITUTE(B7," ","-"))&amp;"-"&amp;UPPER(SUBSTITUTE(D7," ","-")),"")</f>
        <v/>
      </c>
      <c r="F7" s="14" t="inlineStr">
        <is>
          <t>200100000548</t>
        </is>
      </c>
      <c r="G7" s="15" t="n">
        <v>90</v>
      </c>
      <c r="H7" s="15" t="n">
        <v>50</v>
      </c>
      <c r="I7" s="16" t="n">
        <v>6</v>
      </c>
      <c r="J7" s="17" t="inlineStr">
        <is>
          <t>Aromatic</t>
        </is>
      </c>
      <c r="K7" s="17" t="inlineStr">
        <is>
          <t>Grapefruit, Marine Notes</t>
        </is>
      </c>
      <c r="L7" s="17" t="inlineStr">
        <is>
          <t>Bay Leaf, Jasmine</t>
        </is>
      </c>
      <c r="M7" s="17" t="inlineStr">
        <is>
          <t>Guaiac Wood, Oakmoss, Ambergris</t>
        </is>
      </c>
      <c r="N7" s="17" t="inlineStr">
        <is>
          <t>Masculine</t>
        </is>
      </c>
      <c r="O7" s="17" t="inlineStr">
        <is>
          <t>Opens with grapefruit and marine notes, moves through bay leaf and jasmine, settles into guaiac wood and oakmoss. Sharp and green-tinged, built for movement. An easy, no-fuss pick for daily wear, light enough for daytime, with a few hours of wear.</t>
        </is>
      </c>
    </row>
    <row r="8" ht="15" customHeight="1" s="11">
      <c r="A8" s="14" t="inlineStr">
        <is>
          <t>Versace</t>
        </is>
      </c>
      <c r="B8" s="14" t="inlineStr">
        <is>
          <t>Eros</t>
        </is>
      </c>
      <c r="C8" s="14" t="inlineStr">
        <is>
          <t>EDT</t>
        </is>
      </c>
      <c r="D8" s="14" t="inlineStr">
        <is>
          <t>100ml</t>
        </is>
      </c>
      <c r="E8" s="14">
        <f>IF(AND(A8&lt;&gt;"",B8&lt;&gt;"",D8&lt;&gt;""),UPPER(SUBSTITUTE(A8," ","-"))&amp;"-"&amp;UPPER(SUBSTITUTE(B8," ","-"))&amp;"-"&amp;UPPER(SUBSTITUTE(D8," ","-")),"")</f>
        <v/>
      </c>
      <c r="F8" s="14" t="inlineStr">
        <is>
          <t>200100000685</t>
        </is>
      </c>
      <c r="G8" s="15" t="n">
        <v>85</v>
      </c>
      <c r="H8" s="15" t="n">
        <v>47</v>
      </c>
      <c r="I8" s="16" t="n">
        <v>5</v>
      </c>
      <c r="J8" s="17" t="inlineStr">
        <is>
          <t>Aromatic</t>
        </is>
      </c>
      <c r="K8" s="17" t="inlineStr">
        <is>
          <t>Mint, Green Apple, Lemon</t>
        </is>
      </c>
      <c r="L8" s="17" t="inlineStr">
        <is>
          <t>Tonka Bean, Geranium, Ambroxan</t>
        </is>
      </c>
      <c r="M8" s="17" t="inlineStr">
        <is>
          <t>Madagascar Vanilla, Cedar, Vetiver</t>
        </is>
      </c>
      <c r="N8" s="17" t="inlineStr">
        <is>
          <t>Masculine</t>
        </is>
      </c>
      <c r="O8" s="17" t="inlineStr">
        <is>
          <t>Opens with mint, green apple and lemon, moves through tonka bean and geranium, settles into madagascar vanilla and cedar. Herbal and crisp, with a peppery, energetic edge. A dependable, everyday men's signature, light enough for daytime, with a few hours of wear.</t>
        </is>
      </c>
    </row>
    <row r="9" ht="15" customHeight="1" s="11">
      <c r="A9" s="14" t="inlineStr">
        <is>
          <t>Versace</t>
        </is>
      </c>
      <c r="B9" s="14" t="inlineStr">
        <is>
          <t>Dylan Blue</t>
        </is>
      </c>
      <c r="C9" s="14" t="inlineStr">
        <is>
          <t>EDT</t>
        </is>
      </c>
      <c r="D9" s="14" t="inlineStr">
        <is>
          <t>100ml</t>
        </is>
      </c>
      <c r="E9" s="14">
        <f>IF(AND(A9&lt;&gt;"",B9&lt;&gt;"",D9&lt;&gt;""),UPPER(SUBSTITUTE(A9," ","-"))&amp;"-"&amp;UPPER(SUBSTITUTE(B9," ","-"))&amp;"-"&amp;UPPER(SUBSTITUTE(D9," ","-")),"")</f>
        <v/>
      </c>
      <c r="F9" s="14" t="inlineStr">
        <is>
          <t>200100000822</t>
        </is>
      </c>
      <c r="G9" s="15" t="n">
        <v>80</v>
      </c>
      <c r="H9" s="15" t="n">
        <v>44</v>
      </c>
      <c r="I9" s="16" t="n">
        <v>5</v>
      </c>
      <c r="J9" s="17" t="inlineStr">
        <is>
          <t>Aromatic</t>
        </is>
      </c>
      <c r="K9" s="17" t="inlineStr">
        <is>
          <t>Bergamot, Grapefruit, Fig Leaf</t>
        </is>
      </c>
      <c r="L9" s="17" t="inlineStr">
        <is>
          <t>Violet Leaf, Papyrus, Patchouli</t>
        </is>
      </c>
      <c r="M9" s="17" t="inlineStr">
        <is>
          <t>Musk, Tonka, Saffron</t>
        </is>
      </c>
      <c r="N9" s="17" t="inlineStr">
        <is>
          <t>Masculine</t>
        </is>
      </c>
      <c r="O9" s="17" t="inlineStr">
        <is>
          <t>Opens with bergamot, grapefruit and fig leaf, moves through violet leaf and papyrus, settles into musk and tonka. Brisk and confident, the classic aromatic snap. A confident one-bottle-does-it-all choice, light enough for daytime, with a few hours of wear.</t>
        </is>
      </c>
    </row>
    <row r="10" ht="15" customHeight="1" s="11">
      <c r="A10" s="14" t="inlineStr">
        <is>
          <t>Dior</t>
        </is>
      </c>
      <c r="B10" s="14" t="inlineStr">
        <is>
          <t>Dior Homme Intense</t>
        </is>
      </c>
      <c r="C10" s="14" t="inlineStr">
        <is>
          <t>EDP</t>
        </is>
      </c>
      <c r="D10" s="14" t="inlineStr">
        <is>
          <t>100ml</t>
        </is>
      </c>
      <c r="E10" s="14">
        <f>IF(AND(A10&lt;&gt;"",B10&lt;&gt;"",D10&lt;&gt;""),UPPER(SUBSTITUTE(A10," ","-"))&amp;"-"&amp;UPPER(SUBSTITUTE(B10," ","-"))&amp;"-"&amp;UPPER(SUBSTITUTE(D10," ","-")),"")</f>
        <v/>
      </c>
      <c r="F10" s="14" t="inlineStr">
        <is>
          <t>200100000959</t>
        </is>
      </c>
      <c r="G10" s="15" t="n">
        <v>120</v>
      </c>
      <c r="H10" s="15" t="n">
        <v>66</v>
      </c>
      <c r="I10" s="16" t="n">
        <v>4</v>
      </c>
      <c r="J10" s="17" t="inlineStr">
        <is>
          <t>Woody</t>
        </is>
      </c>
      <c r="K10" s="17" t="inlineStr">
        <is>
          <t>Lavender</t>
        </is>
      </c>
      <c r="L10" s="17" t="inlineStr">
        <is>
          <t>Iris, Ambrette, Pear</t>
        </is>
      </c>
      <c r="M10" s="17" t="inlineStr">
        <is>
          <t>Vetiver, Cedar</t>
        </is>
      </c>
      <c r="N10" s="17" t="inlineStr">
        <is>
          <t>Masculine</t>
        </is>
      </c>
      <c r="O10" s="17" t="inlineStr">
        <is>
          <t>Opens with lavender, moves through iris and ambrette, settles into vetiver and cedar. Smooth and confident, fills a room quietly. An easy, no-fuss pick for daily wear, concentrated enough to carry into the evening.</t>
        </is>
      </c>
    </row>
    <row r="11" ht="15" customHeight="1" s="11">
      <c r="A11" s="14" t="inlineStr">
        <is>
          <t>Giorgio Armani</t>
        </is>
      </c>
      <c r="B11" s="14" t="inlineStr">
        <is>
          <t>Acqua di Gio</t>
        </is>
      </c>
      <c r="C11" s="14" t="inlineStr">
        <is>
          <t>EDT</t>
        </is>
      </c>
      <c r="D11" s="14" t="inlineStr">
        <is>
          <t>100ml</t>
        </is>
      </c>
      <c r="E11" s="14">
        <f>IF(AND(A11&lt;&gt;"",B11&lt;&gt;"",D11&lt;&gt;""),UPPER(SUBSTITUTE(A11," ","-"))&amp;"-"&amp;UPPER(SUBSTITUTE(B11," ","-"))&amp;"-"&amp;UPPER(SUBSTITUTE(D11," ","-")),"")</f>
        <v/>
      </c>
      <c r="F11" s="14" t="inlineStr">
        <is>
          <t>200100001096</t>
        </is>
      </c>
      <c r="G11" s="15" t="n">
        <v>85</v>
      </c>
      <c r="H11" s="15" t="n">
        <v>47</v>
      </c>
      <c r="I11" s="16" t="n">
        <v>13</v>
      </c>
      <c r="J11" s="17" t="inlineStr">
        <is>
          <t>Fresh/Aquatic</t>
        </is>
      </c>
      <c r="K11" s="17" t="inlineStr">
        <is>
          <t>Bergamot, Neroli, Green Tangerine</t>
        </is>
      </c>
      <c r="L11" s="17" t="inlineStr">
        <is>
          <t>Jasmine, Sea Notes, Rosemary</t>
        </is>
      </c>
      <c r="M11" s="17" t="inlineStr">
        <is>
          <t>Patchouli, Cedar, Musk</t>
        </is>
      </c>
      <c r="N11" s="17" t="inlineStr">
        <is>
          <t>Masculine</t>
        </is>
      </c>
      <c r="O11" s="17" t="inlineStr">
        <is>
          <t>Opens with bergamot, neroli and green tangerine, moves through jasmine and sea notes, settles into patchouli and cedar. Clean and breezy, the fragrance equivalent of an open window. An easy, no-fuss pick for daily wear, light enough for daytime, with a few hours of wear.</t>
        </is>
      </c>
    </row>
    <row r="12" ht="15" customHeight="1" s="11">
      <c r="A12" s="14" t="inlineStr">
        <is>
          <t>Giorgio Armani</t>
        </is>
      </c>
      <c r="B12" s="14" t="inlineStr">
        <is>
          <t>Acqua di Gio Profumo</t>
        </is>
      </c>
      <c r="C12" s="14" t="inlineStr">
        <is>
          <t>EDP</t>
        </is>
      </c>
      <c r="D12" s="14" t="inlineStr">
        <is>
          <t>75ml</t>
        </is>
      </c>
      <c r="E12" s="14">
        <f>IF(AND(A12&lt;&gt;"",B12&lt;&gt;"",D12&lt;&gt;""),UPPER(SUBSTITUTE(A12," ","-"))&amp;"-"&amp;UPPER(SUBSTITUTE(B12," ","-"))&amp;"-"&amp;UPPER(SUBSTITUTE(D12," ","-")),"")</f>
        <v/>
      </c>
      <c r="F12" s="14" t="inlineStr">
        <is>
          <t>200100001233</t>
        </is>
      </c>
      <c r="G12" s="15" t="n">
        <v>110</v>
      </c>
      <c r="H12" s="15" t="n">
        <v>61</v>
      </c>
      <c r="I12" s="16" t="n">
        <v>3</v>
      </c>
      <c r="J12" s="17" t="inlineStr">
        <is>
          <t>Fresh/Aquatic</t>
        </is>
      </c>
      <c r="K12" s="17" t="inlineStr">
        <is>
          <t>Bergamot, Sea Notes</t>
        </is>
      </c>
      <c r="L12" s="17" t="inlineStr">
        <is>
          <t>Geranium, Sage, Rosemary</t>
        </is>
      </c>
      <c r="M12" s="17" t="inlineStr">
        <is>
          <t>Incense, Patchouli</t>
        </is>
      </c>
      <c r="N12" s="17" t="inlineStr">
        <is>
          <t>Masculine</t>
        </is>
      </c>
      <c r="O12" s="17" t="inlineStr">
        <is>
          <t>Opens with bergamot and sea notes, moves through geranium and sage, settles into incense and patchouli. Cool and marine, like sea spray on skin. A dependable, everyday men's signature, concentrated enough to carry into the evening.</t>
        </is>
      </c>
    </row>
    <row r="13" ht="15" customHeight="1" s="11">
      <c r="A13" s="14" t="inlineStr">
        <is>
          <t>Yves Saint Laurent</t>
        </is>
      </c>
      <c r="B13" s="14" t="inlineStr">
        <is>
          <t>La Nuit de L'Homme</t>
        </is>
      </c>
      <c r="C13" s="14" t="inlineStr">
        <is>
          <t>EDT</t>
        </is>
      </c>
      <c r="D13" s="14" t="inlineStr">
        <is>
          <t>100ml</t>
        </is>
      </c>
      <c r="E13" s="14">
        <f>IF(AND(A13&lt;&gt;"",B13&lt;&gt;"",D13&lt;&gt;""),UPPER(SUBSTITUTE(A13," ","-"))&amp;"-"&amp;UPPER(SUBSTITUTE(B13," ","-"))&amp;"-"&amp;UPPER(SUBSTITUTE(D13," ","-")),"")</f>
        <v/>
      </c>
      <c r="F13" s="14" t="inlineStr">
        <is>
          <t>200100001370</t>
        </is>
      </c>
      <c r="G13" s="15" t="n">
        <v>95</v>
      </c>
      <c r="H13" s="15" t="n">
        <v>52</v>
      </c>
      <c r="I13" s="16" t="n">
        <v>12</v>
      </c>
      <c r="J13" s="17" t="inlineStr">
        <is>
          <t>Amber/Oriental</t>
        </is>
      </c>
      <c r="K13" s="17" t="inlineStr">
        <is>
          <t>Cardamom, Bergamot</t>
        </is>
      </c>
      <c r="L13" s="17" t="inlineStr">
        <is>
          <t>Lavender, Cedar, Cumin</t>
        </is>
      </c>
      <c r="M13" s="17" t="inlineStr">
        <is>
          <t>Vetiver, Coumarin</t>
        </is>
      </c>
      <c r="N13" s="17" t="inlineStr">
        <is>
          <t>Masculine</t>
        </is>
      </c>
      <c r="O13" s="17" t="inlineStr">
        <is>
          <t>Opens with cardamom and bergamot, moves through lavender and cedar, settles into vetiver and coumarin. Spiced and sensual, the kind of scent people lean in for. A confident one-bottle-does-it-all choice, light enough for daytime, with a few hours of wear.</t>
        </is>
      </c>
    </row>
    <row r="14" ht="15" customHeight="1" s="11">
      <c r="A14" s="14" t="inlineStr">
        <is>
          <t>Yves Saint Laurent</t>
        </is>
      </c>
      <c r="B14" s="14" t="inlineStr">
        <is>
          <t>Y</t>
        </is>
      </c>
      <c r="C14" s="14" t="inlineStr">
        <is>
          <t>EDP</t>
        </is>
      </c>
      <c r="D14" s="14" t="inlineStr">
        <is>
          <t>100ml</t>
        </is>
      </c>
      <c r="E14" s="14">
        <f>IF(AND(A14&lt;&gt;"",B14&lt;&gt;"",D14&lt;&gt;""),UPPER(SUBSTITUTE(A14," ","-"))&amp;"-"&amp;UPPER(SUBSTITUTE(B14," ","-"))&amp;"-"&amp;UPPER(SUBSTITUTE(D14," ","-")),"")</f>
        <v/>
      </c>
      <c r="F14" s="14" t="inlineStr">
        <is>
          <t>200100001507</t>
        </is>
      </c>
      <c r="G14" s="15" t="n">
        <v>100</v>
      </c>
      <c r="H14" s="15" t="n">
        <v>55</v>
      </c>
      <c r="I14" s="16" t="n">
        <v>13</v>
      </c>
      <c r="J14" s="17" t="inlineStr">
        <is>
          <t>Aromatic</t>
        </is>
      </c>
      <c r="K14" s="17" t="inlineStr">
        <is>
          <t>Bergamot, Ginger, Sage</t>
        </is>
      </c>
      <c r="L14" s="17" t="inlineStr">
        <is>
          <t>Juniper, Geranium, Sage</t>
        </is>
      </c>
      <c r="M14" s="17" t="inlineStr">
        <is>
          <t>Amberwood, Tonka, Cedar</t>
        </is>
      </c>
      <c r="N14" s="17" t="inlineStr">
        <is>
          <t>Masculine</t>
        </is>
      </c>
      <c r="O14" s="17" t="inlineStr">
        <is>
          <t>Opens with bergamot, ginger and sage, moves through juniper and geranium, settles into amberwood and tonka. Sharp and green-tinged, built for movement. An easy, no-fuss pick for daily wear, concentrated enough to carry into the evening.</t>
        </is>
      </c>
    </row>
    <row r="15" ht="15" customHeight="1" s="11">
      <c r="A15" s="14" t="inlineStr">
        <is>
          <t>Jean Paul Gaultier</t>
        </is>
      </c>
      <c r="B15" s="14" t="inlineStr">
        <is>
          <t>Le Male</t>
        </is>
      </c>
      <c r="C15" s="14" t="inlineStr">
        <is>
          <t>EDT</t>
        </is>
      </c>
      <c r="D15" s="14" t="inlineStr">
        <is>
          <t>100ml</t>
        </is>
      </c>
      <c r="E15" s="14">
        <f>IF(AND(A15&lt;&gt;"",B15&lt;&gt;"",D15&lt;&gt;""),UPPER(SUBSTITUTE(A15," ","-"))&amp;"-"&amp;UPPER(SUBSTITUTE(B15," ","-"))&amp;"-"&amp;UPPER(SUBSTITUTE(D15," ","-")),"")</f>
        <v/>
      </c>
      <c r="F15" s="14" t="inlineStr">
        <is>
          <t>200100001644</t>
        </is>
      </c>
      <c r="G15" s="15" t="n">
        <v>85</v>
      </c>
      <c r="H15" s="15" t="n">
        <v>47</v>
      </c>
      <c r="I15" s="16" t="n">
        <v>10</v>
      </c>
      <c r="J15" s="17" t="inlineStr">
        <is>
          <t>Fougère</t>
        </is>
      </c>
      <c r="K15" s="17" t="inlineStr">
        <is>
          <t>Mint, Lavender, Bergamot</t>
        </is>
      </c>
      <c r="L15" s="17" t="inlineStr">
        <is>
          <t>Cinnamon, Cumin, Orange Blossom</t>
        </is>
      </c>
      <c r="M15" s="17" t="inlineStr">
        <is>
          <t>Vanilla, Tonka, Sandalwood</t>
        </is>
      </c>
      <c r="N15" s="17" t="inlineStr">
        <is>
          <t>Masculine</t>
        </is>
      </c>
      <c r="O15" s="17" t="inlineStr">
        <is>
          <t>Opens with mint, lavender and bergamot, moves through cinnamon and cumin, settles into vanilla and tonka. Crisp and herbal with a soapy, clean-shaven finish. A confident one-bottle-does-it-all choice, light enough for daytime, with a few hours of wear.</t>
        </is>
      </c>
    </row>
    <row r="16" ht="15" customHeight="1" s="11">
      <c r="A16" s="14" t="inlineStr">
        <is>
          <t>Jean Paul Gaultier</t>
        </is>
      </c>
      <c r="B16" s="14" t="inlineStr">
        <is>
          <t>Le Male Le Parfum</t>
        </is>
      </c>
      <c r="C16" s="14" t="inlineStr">
        <is>
          <t>EDP</t>
        </is>
      </c>
      <c r="D16" s="14" t="inlineStr">
        <is>
          <t>100ml</t>
        </is>
      </c>
      <c r="E16" s="14">
        <f>IF(AND(A16&lt;&gt;"",B16&lt;&gt;"",D16&lt;&gt;""),UPPER(SUBSTITUTE(A16," ","-"))&amp;"-"&amp;UPPER(SUBSTITUTE(B16," ","-"))&amp;"-"&amp;UPPER(SUBSTITUTE(D16," ","-")),"")</f>
        <v/>
      </c>
      <c r="F16" s="14" t="inlineStr">
        <is>
          <t>200100001781</t>
        </is>
      </c>
      <c r="G16" s="15" t="n">
        <v>110</v>
      </c>
      <c r="H16" s="15" t="n">
        <v>61</v>
      </c>
      <c r="I16" s="16" t="n">
        <v>3</v>
      </c>
      <c r="J16" s="17" t="inlineStr">
        <is>
          <t>Amber/Oriental</t>
        </is>
      </c>
      <c r="K16" s="17" t="inlineStr">
        <is>
          <t>Cardamom, Mint</t>
        </is>
      </c>
      <c r="L16" s="17" t="inlineStr">
        <is>
          <t>Lavender</t>
        </is>
      </c>
      <c r="M16" s="17" t="inlineStr">
        <is>
          <t>Vanilla, Tonka Bean</t>
        </is>
      </c>
      <c r="N16" s="17" t="inlineStr">
        <is>
          <t>Masculine</t>
        </is>
      </c>
      <c r="O16" s="17" t="inlineStr">
        <is>
          <t>Opens with cardamom and mint, moves through lavender, settles into vanilla and tonka bean. Warm and resinous, glowing rather than shouting. A dependable, everyday men's signature, concentrated enough to carry into the evening.</t>
        </is>
      </c>
    </row>
    <row r="17" ht="15" customHeight="1" s="11">
      <c r="A17" s="14" t="inlineStr">
        <is>
          <t>Prada</t>
        </is>
      </c>
      <c r="B17" s="14" t="inlineStr">
        <is>
          <t>Luna Rossa Carbon</t>
        </is>
      </c>
      <c r="C17" s="14" t="inlineStr">
        <is>
          <t>EDT</t>
        </is>
      </c>
      <c r="D17" s="14" t="inlineStr">
        <is>
          <t>100ml</t>
        </is>
      </c>
      <c r="E17" s="14">
        <f>IF(AND(A17&lt;&gt;"",B17&lt;&gt;"",D17&lt;&gt;""),UPPER(SUBSTITUTE(A17," ","-"))&amp;"-"&amp;UPPER(SUBSTITUTE(B17," ","-"))&amp;"-"&amp;UPPER(SUBSTITUTE(D17," ","-")),"")</f>
        <v/>
      </c>
      <c r="F17" s="14" t="inlineStr">
        <is>
          <t>200100001918</t>
        </is>
      </c>
      <c r="G17" s="15" t="n">
        <v>95</v>
      </c>
      <c r="H17" s="15" t="n">
        <v>52</v>
      </c>
      <c r="I17" s="16" t="n">
        <v>11</v>
      </c>
      <c r="J17" s="17" t="inlineStr">
        <is>
          <t>Aromatic</t>
        </is>
      </c>
      <c r="K17" s="17" t="inlineStr">
        <is>
          <t>Bergamot, Pepper</t>
        </is>
      </c>
      <c r="L17" s="17" t="inlineStr">
        <is>
          <t>Lavender, Coumarin</t>
        </is>
      </c>
      <c r="M17" s="17" t="inlineStr">
        <is>
          <t>Ambroxan, Patchouli, Metallic Notes</t>
        </is>
      </c>
      <c r="N17" s="17" t="inlineStr">
        <is>
          <t>Masculine</t>
        </is>
      </c>
      <c r="O17" s="17" t="inlineStr">
        <is>
          <t>Opens with bergamot and pepper, moves through lavender and coumarin, settles into ambroxan and patchouli. Sharp and green-tinged, built for movement. An easy, no-fuss pick for daily wear, light enough for daytime, with a few hours of wear.</t>
        </is>
      </c>
    </row>
    <row r="18" ht="15" customHeight="1" s="11">
      <c r="A18" s="14" t="inlineStr">
        <is>
          <t>Montblanc</t>
        </is>
      </c>
      <c r="B18" s="14" t="inlineStr">
        <is>
          <t>Explorer</t>
        </is>
      </c>
      <c r="C18" s="14" t="inlineStr">
        <is>
          <t>EDP</t>
        </is>
      </c>
      <c r="D18" s="14" t="inlineStr">
        <is>
          <t>100ml</t>
        </is>
      </c>
      <c r="E18" s="14">
        <f>IF(AND(A18&lt;&gt;"",B18&lt;&gt;"",D18&lt;&gt;""),UPPER(SUBSTITUTE(A18," ","-"))&amp;"-"&amp;UPPER(SUBSTITUTE(B18," ","-"))&amp;"-"&amp;UPPER(SUBSTITUTE(D18," ","-")),"")</f>
        <v/>
      </c>
      <c r="F18" s="14" t="inlineStr">
        <is>
          <t>200100002055</t>
        </is>
      </c>
      <c r="G18" s="15" t="n">
        <v>85</v>
      </c>
      <c r="H18" s="15" t="n">
        <v>47</v>
      </c>
      <c r="I18" s="16" t="n">
        <v>8</v>
      </c>
      <c r="J18" s="17" t="inlineStr">
        <is>
          <t>Woody</t>
        </is>
      </c>
      <c r="K18" s="17" t="inlineStr">
        <is>
          <t>Bergamot, Pink Pepper, Clary Sage</t>
        </is>
      </c>
      <c r="L18" s="17" t="inlineStr">
        <is>
          <t>Leather, Vetiver</t>
        </is>
      </c>
      <c r="M18" s="17" t="inlineStr">
        <is>
          <t>Patchouli, Ambroxan, Cacao</t>
        </is>
      </c>
      <c r="N18" s="17" t="inlineStr">
        <is>
          <t>Masculine</t>
        </is>
      </c>
      <c r="O18" s="17" t="inlineStr">
        <is>
          <t>Opens with bergamot, pink pepper and clary sage, moves through leather and vetiver, settles into patchouli and ambroxan. Smooth and confident, fills a room quietly. An easy, no-fuss pick for daily wear, concentrated enough to carry into the evening.</t>
        </is>
      </c>
    </row>
    <row r="19" ht="15" customHeight="1" s="11">
      <c r="A19" s="14" t="inlineStr">
        <is>
          <t>Montblanc</t>
        </is>
      </c>
      <c r="B19" s="14" t="inlineStr">
        <is>
          <t>Legend</t>
        </is>
      </c>
      <c r="C19" s="14" t="inlineStr">
        <is>
          <t>EDT</t>
        </is>
      </c>
      <c r="D19" s="14" t="inlineStr">
        <is>
          <t>100ml</t>
        </is>
      </c>
      <c r="E19" s="14">
        <f>IF(AND(A19&lt;&gt;"",B19&lt;&gt;"",D19&lt;&gt;""),UPPER(SUBSTITUTE(A19," ","-"))&amp;"-"&amp;UPPER(SUBSTITUTE(B19," ","-"))&amp;"-"&amp;UPPER(SUBSTITUTE(D19," ","-")),"")</f>
        <v/>
      </c>
      <c r="F19" s="14" t="inlineStr">
        <is>
          <t>200100002192</t>
        </is>
      </c>
      <c r="G19" s="15" t="n">
        <v>75</v>
      </c>
      <c r="H19" s="15" t="n">
        <v>41</v>
      </c>
      <c r="I19" s="16" t="n">
        <v>2</v>
      </c>
      <c r="J19" s="17" t="inlineStr">
        <is>
          <t>Fougère</t>
        </is>
      </c>
      <c r="K19" s="17" t="inlineStr">
        <is>
          <t>Bergamot, Lavender, Pineapple</t>
        </is>
      </c>
      <c r="L19" s="17" t="inlineStr">
        <is>
          <t>Red Apple, Rose, Geranium</t>
        </is>
      </c>
      <c r="M19" s="17" t="inlineStr">
        <is>
          <t>Tonka, Sandalwood, Oakmoss</t>
        </is>
      </c>
      <c r="N19" s="17" t="inlineStr">
        <is>
          <t>Masculine</t>
        </is>
      </c>
      <c r="O19" s="17" t="inlineStr">
        <is>
          <t>Opens with bergamot, lavender and pineapple, moves through red apple and rose, settles into tonka and sandalwood. Crisp and herbal with a soapy, clean-shaven finish. A confident one-bottle-does-it-all choice, light enough for daytime, with a few hours of wear.</t>
        </is>
      </c>
    </row>
    <row r="20" ht="15" customHeight="1" s="11">
      <c r="A20" s="14" t="inlineStr">
        <is>
          <t>Azzaro</t>
        </is>
      </c>
      <c r="B20" s="14" t="inlineStr">
        <is>
          <t>Chrome</t>
        </is>
      </c>
      <c r="C20" s="14" t="inlineStr">
        <is>
          <t>EDT</t>
        </is>
      </c>
      <c r="D20" s="14" t="inlineStr">
        <is>
          <t>100ml</t>
        </is>
      </c>
      <c r="E20" s="14">
        <f>IF(AND(A20&lt;&gt;"",B20&lt;&gt;"",D20&lt;&gt;""),UPPER(SUBSTITUTE(A20," ","-"))&amp;"-"&amp;UPPER(SUBSTITUTE(B20," ","-"))&amp;"-"&amp;UPPER(SUBSTITUTE(D20," ","-")),"")</f>
        <v/>
      </c>
      <c r="F20" s="14" t="inlineStr">
        <is>
          <t>200100002329</t>
        </is>
      </c>
      <c r="G20" s="15" t="n">
        <v>70</v>
      </c>
      <c r="H20" s="15" t="n">
        <v>38</v>
      </c>
      <c r="I20" s="16" t="n">
        <v>2</v>
      </c>
      <c r="J20" s="17" t="inlineStr">
        <is>
          <t>Citrus</t>
        </is>
      </c>
      <c r="K20" s="17" t="inlineStr">
        <is>
          <t>Lemon, Bergamot, Pineapple</t>
        </is>
      </c>
      <c r="L20" s="17" t="inlineStr">
        <is>
          <t>Jasmine, Cyclamen, Coriander</t>
        </is>
      </c>
      <c r="M20" s="17" t="inlineStr">
        <is>
          <t>Musk, Oakmoss, Sandalwood</t>
        </is>
      </c>
      <c r="N20" s="17" t="inlineStr">
        <is>
          <t>Masculine</t>
        </is>
      </c>
      <c r="O20" s="17" t="inlineStr">
        <is>
          <t>Opens with lemon, bergamot and pineapple, moves through jasmine and cyclamen, settles into musk and oakmoss. Sunlit and clean, never heavy. A confident one-bottle-does-it-all choice, light enough for daytime, with a few hours of wear.</t>
        </is>
      </c>
    </row>
    <row r="21" ht="15" customHeight="1" s="11">
      <c r="A21" s="14" t="inlineStr">
        <is>
          <t>Azzaro</t>
        </is>
      </c>
      <c r="B21" s="14" t="inlineStr">
        <is>
          <t>Wanted</t>
        </is>
      </c>
      <c r="C21" s="14" t="inlineStr">
        <is>
          <t>EDT</t>
        </is>
      </c>
      <c r="D21" s="14" t="inlineStr">
        <is>
          <t>100ml</t>
        </is>
      </c>
      <c r="E21" s="14">
        <f>IF(AND(A21&lt;&gt;"",B21&lt;&gt;"",D21&lt;&gt;""),UPPER(SUBSTITUTE(A21," ","-"))&amp;"-"&amp;UPPER(SUBSTITUTE(B21," ","-"))&amp;"-"&amp;UPPER(SUBSTITUTE(D21," ","-")),"")</f>
        <v/>
      </c>
      <c r="F21" s="14" t="inlineStr">
        <is>
          <t>200100002466</t>
        </is>
      </c>
      <c r="G21" s="15" t="n">
        <v>85</v>
      </c>
      <c r="H21" s="15" t="n">
        <v>47</v>
      </c>
      <c r="I21" s="16" t="n">
        <v>3</v>
      </c>
      <c r="J21" s="17" t="inlineStr">
        <is>
          <t>Amber/Oriental</t>
        </is>
      </c>
      <c r="K21" s="17" t="inlineStr">
        <is>
          <t>Lemon, Ginger, Mint</t>
        </is>
      </c>
      <c r="L21" s="17" t="inlineStr">
        <is>
          <t>Cardamom, Lavender, Vetiver</t>
        </is>
      </c>
      <c r="M21" s="17" t="inlineStr">
        <is>
          <t>Tonka, Amberwood, Vetiver</t>
        </is>
      </c>
      <c r="N21" s="17" t="inlineStr">
        <is>
          <t>Masculine</t>
        </is>
      </c>
      <c r="O21" s="17" t="inlineStr">
        <is>
          <t>Opens with lemon, ginger and mint, moves through cardamom and lavender, settles into tonka and amberwood. Rich and enveloping, built for cooler nights. An easy, no-fuss pick for daily wear, light enough for daytime, with a few hours of wear.</t>
        </is>
      </c>
    </row>
    <row r="22" ht="15" customHeight="1" s="11">
      <c r="A22" s="14" t="inlineStr">
        <is>
          <t>Carolina Herrera</t>
        </is>
      </c>
      <c r="B22" s="14" t="inlineStr">
        <is>
          <t>Bad Boy</t>
        </is>
      </c>
      <c r="C22" s="14" t="inlineStr">
        <is>
          <t>EDT</t>
        </is>
      </c>
      <c r="D22" s="14" t="inlineStr">
        <is>
          <t>100ml</t>
        </is>
      </c>
      <c r="E22" s="14">
        <f>IF(AND(A22&lt;&gt;"",B22&lt;&gt;"",D22&lt;&gt;""),UPPER(SUBSTITUTE(A22," ","-"))&amp;"-"&amp;UPPER(SUBSTITUTE(B22," ","-"))&amp;"-"&amp;UPPER(SUBSTITUTE(D22," ","-")),"")</f>
        <v/>
      </c>
      <c r="F22" s="14" t="inlineStr">
        <is>
          <t>200100002603</t>
        </is>
      </c>
      <c r="G22" s="15" t="n">
        <v>95</v>
      </c>
      <c r="H22" s="15" t="n">
        <v>52</v>
      </c>
      <c r="I22" s="16" t="n">
        <v>5</v>
      </c>
      <c r="J22" s="17" t="inlineStr">
        <is>
          <t>Amber/Oriental</t>
        </is>
      </c>
      <c r="K22" s="17" t="inlineStr">
        <is>
          <t>Bergamot, White Pepper</t>
        </is>
      </c>
      <c r="L22" s="17" t="inlineStr">
        <is>
          <t>Cedar, Sage</t>
        </is>
      </c>
      <c r="M22" s="17" t="inlineStr">
        <is>
          <t>Tonka, Cacao, Amber</t>
        </is>
      </c>
      <c r="N22" s="17" t="inlineStr">
        <is>
          <t>Masculine</t>
        </is>
      </c>
      <c r="O22" s="17" t="inlineStr">
        <is>
          <t>Opens with bergamot and white pepper, moves through cedar and sage, settles into tonka and cacao. Spiced and sensual, the kind of scent people lean in for. A confident one-bottle-does-it-all choice, light enough for daytime, with a few hours of wear.</t>
        </is>
      </c>
    </row>
    <row r="23" ht="15" customHeight="1" s="11">
      <c r="A23" s="14" t="inlineStr">
        <is>
          <t>Carolina Herrera</t>
        </is>
      </c>
      <c r="B23" s="14" t="inlineStr">
        <is>
          <t>212 VIP Men</t>
        </is>
      </c>
      <c r="C23" s="14" t="inlineStr">
        <is>
          <t>EDT</t>
        </is>
      </c>
      <c r="D23" s="14" t="inlineStr">
        <is>
          <t>100ml</t>
        </is>
      </c>
      <c r="E23" s="14">
        <f>IF(AND(A23&lt;&gt;"",B23&lt;&gt;"",D23&lt;&gt;""),UPPER(SUBSTITUTE(A23," ","-"))&amp;"-"&amp;UPPER(SUBSTITUTE(B23," ","-"))&amp;"-"&amp;UPPER(SUBSTITUTE(D23," ","-")),"")</f>
        <v/>
      </c>
      <c r="F23" s="14" t="inlineStr">
        <is>
          <t>200100002740</t>
        </is>
      </c>
      <c r="G23" s="15" t="n">
        <v>92</v>
      </c>
      <c r="H23" s="15" t="n">
        <v>51</v>
      </c>
      <c r="I23" s="16" t="n">
        <v>5</v>
      </c>
      <c r="J23" s="17" t="inlineStr">
        <is>
          <t>Amber/Oriental</t>
        </is>
      </c>
      <c r="K23" s="17" t="inlineStr">
        <is>
          <t>Lime, Passion Fruit, Pepper</t>
        </is>
      </c>
      <c r="L23" s="17" t="inlineStr">
        <is>
          <t>Vodka, Ginger</t>
        </is>
      </c>
      <c r="M23" s="17" t="inlineStr">
        <is>
          <t>Amber, Leather, Musk</t>
        </is>
      </c>
      <c r="N23" s="17" t="inlineStr">
        <is>
          <t>Masculine</t>
        </is>
      </c>
      <c r="O23" s="17" t="inlineStr">
        <is>
          <t>Opens with lime, passion fruit and pepper, moves through vodka and ginger, settles into amber and leather. Rich and enveloping, built for cooler nights. An easy, no-fuss pick for daily wear, light enough for daytime, with a few hours of wear.</t>
        </is>
      </c>
    </row>
    <row r="24" ht="15" customHeight="1" s="11">
      <c r="A24" s="14" t="inlineStr">
        <is>
          <t>Dolce &amp; Gabbana</t>
        </is>
      </c>
      <c r="B24" s="14" t="inlineStr">
        <is>
          <t>The One for Men</t>
        </is>
      </c>
      <c r="C24" s="14" t="inlineStr">
        <is>
          <t>EDT</t>
        </is>
      </c>
      <c r="D24" s="14" t="inlineStr">
        <is>
          <t>100ml</t>
        </is>
      </c>
      <c r="E24" s="14">
        <f>IF(AND(A24&lt;&gt;"",B24&lt;&gt;"",D24&lt;&gt;""),UPPER(SUBSTITUTE(A24," ","-"))&amp;"-"&amp;UPPER(SUBSTITUTE(B24," ","-"))&amp;"-"&amp;UPPER(SUBSTITUTE(D24," ","-")),"")</f>
        <v/>
      </c>
      <c r="F24" s="14" t="inlineStr">
        <is>
          <t>200100002877</t>
        </is>
      </c>
      <c r="G24" s="15" t="n">
        <v>95</v>
      </c>
      <c r="H24" s="15" t="n">
        <v>52</v>
      </c>
      <c r="I24" s="16" t="n">
        <v>10</v>
      </c>
      <c r="J24" s="17" t="inlineStr">
        <is>
          <t>Amber/Oriental</t>
        </is>
      </c>
      <c r="K24" s="17" t="inlineStr">
        <is>
          <t>Grapefruit, Coriander, Basil</t>
        </is>
      </c>
      <c r="L24" s="17" t="inlineStr">
        <is>
          <t>Cardamom, Ginger, Orange Blossom</t>
        </is>
      </c>
      <c r="M24" s="17" t="inlineStr">
        <is>
          <t>Tobacco, Amber, Cedar</t>
        </is>
      </c>
      <c r="N24" s="17" t="inlineStr">
        <is>
          <t>Masculine</t>
        </is>
      </c>
      <c r="O24" s="17" t="inlineStr">
        <is>
          <t>Opens with grapefruit, coriander and basil, moves through cardamom and ginger, settles into tobacco and amber. Spiced and sensual, the kind of scent people lean in for. A confident one-bottle-does-it-all choice, light enough for daytime, with a few hours of wear.</t>
        </is>
      </c>
    </row>
    <row r="25" ht="15" customHeight="1" s="11">
      <c r="A25" s="14" t="inlineStr">
        <is>
          <t>Dolce &amp; Gabbana</t>
        </is>
      </c>
      <c r="B25" s="14" t="inlineStr">
        <is>
          <t>Light Blue Pour Homme</t>
        </is>
      </c>
      <c r="C25" s="14" t="inlineStr">
        <is>
          <t>EDT</t>
        </is>
      </c>
      <c r="D25" s="14" t="inlineStr">
        <is>
          <t>100ml</t>
        </is>
      </c>
      <c r="E25" s="14">
        <f>IF(AND(A25&lt;&gt;"",B25&lt;&gt;"",D25&lt;&gt;""),UPPER(SUBSTITUTE(A25," ","-"))&amp;"-"&amp;UPPER(SUBSTITUTE(B25," ","-"))&amp;"-"&amp;UPPER(SUBSTITUTE(D25," ","-")),"")</f>
        <v/>
      </c>
      <c r="F25" s="14" t="inlineStr">
        <is>
          <t>200100003014</t>
        </is>
      </c>
      <c r="G25" s="15" t="n">
        <v>80</v>
      </c>
      <c r="H25" s="15" t="n">
        <v>44</v>
      </c>
      <c r="I25" s="16" t="n">
        <v>11</v>
      </c>
      <c r="J25" s="17" t="inlineStr">
        <is>
          <t>Citrus</t>
        </is>
      </c>
      <c r="K25" s="17" t="inlineStr">
        <is>
          <t>Grapefruit, Bergamot, Mandarin</t>
        </is>
      </c>
      <c r="L25" s="17" t="inlineStr">
        <is>
          <t>Pepper, Rosemary, Rosewood</t>
        </is>
      </c>
      <c r="M25" s="17" t="inlineStr">
        <is>
          <t>Musk, Incense, Oakmoss</t>
        </is>
      </c>
      <c r="N25" s="17" t="inlineStr">
        <is>
          <t>Masculine</t>
        </is>
      </c>
      <c r="O25" s="17" t="inlineStr">
        <is>
          <t>Opens with grapefruit, bergamot and mandarin, moves through pepper and rosemary, settles into musk and incense. Bright and zesty from the first spray, effervescent rather than sweet. A dependable, everyday men's signature, light enough for daytime, with a few hours of wear.</t>
        </is>
      </c>
    </row>
    <row r="26" ht="15" customHeight="1" s="11">
      <c r="A26" s="14" t="inlineStr">
        <is>
          <t>Tom Ford</t>
        </is>
      </c>
      <c r="B26" s="14" t="inlineStr">
        <is>
          <t>Oud Wood</t>
        </is>
      </c>
      <c r="C26" s="14" t="inlineStr">
        <is>
          <t>EDP</t>
        </is>
      </c>
      <c r="D26" s="14" t="inlineStr">
        <is>
          <t>50ml</t>
        </is>
      </c>
      <c r="E26" s="14">
        <f>IF(AND(A26&lt;&gt;"",B26&lt;&gt;"",D26&lt;&gt;""),UPPER(SUBSTITUTE(A26," ","-"))&amp;"-"&amp;UPPER(SUBSTITUTE(B26," ","-"))&amp;"-"&amp;UPPER(SUBSTITUTE(D26," ","-")),"")</f>
        <v/>
      </c>
      <c r="F26" s="14" t="inlineStr">
        <is>
          <t>200100003151</t>
        </is>
      </c>
      <c r="G26" s="15" t="n">
        <v>260</v>
      </c>
      <c r="H26" s="15" t="n">
        <v>143</v>
      </c>
      <c r="I26" s="16" t="n">
        <v>2</v>
      </c>
      <c r="J26" s="17" t="inlineStr">
        <is>
          <t>Woody</t>
        </is>
      </c>
      <c r="K26" s="17" t="inlineStr">
        <is>
          <t>Rosewood, Cardamom, Sichuan Pepper</t>
        </is>
      </c>
      <c r="L26" s="17" t="inlineStr">
        <is>
          <t>Oud, Sandalwood, Vetiver</t>
        </is>
      </c>
      <c r="M26" s="17" t="inlineStr">
        <is>
          <t>Tonka Bean, Vanilla, Amber</t>
        </is>
      </c>
      <c r="N26" s="17" t="inlineStr">
        <is>
          <t>Unisex</t>
        </is>
      </c>
      <c r="O26" s="17" t="inlineStr">
        <is>
          <t>Opens with rosewood, cardamom and sichuan pepper, moves through oud and sandalwood, settles into tonka bean and vanilla. Warm and grounded, built around a real wood backbone. Built to wear well on anyone, concentrated enough to carry into the evening.</t>
        </is>
      </c>
    </row>
    <row r="27" ht="15" customHeight="1" s="11">
      <c r="A27" s="14" t="inlineStr">
        <is>
          <t>Tom Ford</t>
        </is>
      </c>
      <c r="B27" s="14" t="inlineStr">
        <is>
          <t>Tobacco Vanille</t>
        </is>
      </c>
      <c r="C27" s="14" t="inlineStr">
        <is>
          <t>EDP</t>
        </is>
      </c>
      <c r="D27" s="14" t="inlineStr">
        <is>
          <t>50ml</t>
        </is>
      </c>
      <c r="E27" s="14">
        <f>IF(AND(A27&lt;&gt;"",B27&lt;&gt;"",D27&lt;&gt;""),UPPER(SUBSTITUTE(A27," ","-"))&amp;"-"&amp;UPPER(SUBSTITUTE(B27," ","-"))&amp;"-"&amp;UPPER(SUBSTITUTE(D27," ","-")),"")</f>
        <v/>
      </c>
      <c r="F27" s="14" t="inlineStr">
        <is>
          <t>200100003288</t>
        </is>
      </c>
      <c r="G27" s="15" t="n">
        <v>275</v>
      </c>
      <c r="H27" s="15" t="n">
        <v>151</v>
      </c>
      <c r="I27" s="16" t="n">
        <v>10</v>
      </c>
      <c r="J27" s="17" t="inlineStr">
        <is>
          <t>Amber/Oriental</t>
        </is>
      </c>
      <c r="K27" s="17" t="inlineStr">
        <is>
          <t>Tobacco Leaf, Spices</t>
        </is>
      </c>
      <c r="L27" s="17" t="inlineStr">
        <is>
          <t>Vanilla, Cacao, Tonka</t>
        </is>
      </c>
      <c r="M27" s="17" t="inlineStr">
        <is>
          <t>Dried Fruits, Woody Notes</t>
        </is>
      </c>
      <c r="N27" s="17" t="inlineStr">
        <is>
          <t>Unisex</t>
        </is>
      </c>
      <c r="O27" s="17" t="inlineStr">
        <is>
          <t>Opens with tobacco leaf and spices, moves through vanilla and cacao, settles into dried fruits and woody notes. Warm and resinous, glowing rather than shouting. Built to wear well on anyone, concentrated enough to carry into the evening.</t>
        </is>
      </c>
    </row>
    <row r="28" ht="15" customHeight="1" s="11">
      <c r="A28" s="14" t="inlineStr">
        <is>
          <t>Tom Ford</t>
        </is>
      </c>
      <c r="B28" s="14" t="inlineStr">
        <is>
          <t>Ombré Leather</t>
        </is>
      </c>
      <c r="C28" s="14" t="inlineStr">
        <is>
          <t>EDP</t>
        </is>
      </c>
      <c r="D28" s="14" t="inlineStr">
        <is>
          <t>100ml</t>
        </is>
      </c>
      <c r="E28" s="14">
        <f>IF(AND(A28&lt;&gt;"",B28&lt;&gt;"",D28&lt;&gt;""),UPPER(SUBSTITUTE(A28," ","-"))&amp;"-"&amp;UPPER(SUBSTITUTE(B28," ","-"))&amp;"-"&amp;UPPER(SUBSTITUTE(D28," ","-")),"")</f>
        <v/>
      </c>
      <c r="F28" s="14" t="inlineStr">
        <is>
          <t>200100003425</t>
        </is>
      </c>
      <c r="G28" s="15" t="n">
        <v>200</v>
      </c>
      <c r="H28" s="15" t="n">
        <v>110</v>
      </c>
      <c r="I28" s="16" t="n">
        <v>5</v>
      </c>
      <c r="J28" s="17" t="inlineStr">
        <is>
          <t>Leather</t>
        </is>
      </c>
      <c r="K28" s="17" t="inlineStr">
        <is>
          <t>Cardamom</t>
        </is>
      </c>
      <c r="L28" s="17" t="inlineStr">
        <is>
          <t>Leather, Jasmine</t>
        </is>
      </c>
      <c r="M28" s="17" t="inlineStr">
        <is>
          <t>Amber, Moss, Patchouli</t>
        </is>
      </c>
      <c r="N28" s="17" t="inlineStr">
        <is>
          <t>Unisex</t>
        </is>
      </c>
      <c r="O28" s="17" t="inlineStr">
        <is>
          <t>Opens with cardamom, moves through leather and jasmine, settles into amber and moss. Smoky and supple, real leather rather than an idea of it. Built to wear well on anyone, concentrated enough to carry into the evening.</t>
        </is>
      </c>
    </row>
    <row r="29" ht="15" customHeight="1" s="11">
      <c r="A29" s="14" t="inlineStr">
        <is>
          <t>Tom Ford</t>
        </is>
      </c>
      <c r="B29" s="14" t="inlineStr">
        <is>
          <t>Noir Extreme</t>
        </is>
      </c>
      <c r="C29" s="14" t="inlineStr">
        <is>
          <t>EDP</t>
        </is>
      </c>
      <c r="D29" s="14" t="inlineStr">
        <is>
          <t>100ml</t>
        </is>
      </c>
      <c r="E29" s="14">
        <f>IF(AND(A29&lt;&gt;"",B29&lt;&gt;"",D29&lt;&gt;""),UPPER(SUBSTITUTE(A29," ","-"))&amp;"-"&amp;UPPER(SUBSTITUTE(B29," ","-"))&amp;"-"&amp;UPPER(SUBSTITUTE(D29," ","-")),"")</f>
        <v/>
      </c>
      <c r="F29" s="14" t="inlineStr">
        <is>
          <t>200100003562</t>
        </is>
      </c>
      <c r="G29" s="15" t="n">
        <v>180</v>
      </c>
      <c r="H29" s="15" t="n">
        <v>99</v>
      </c>
      <c r="I29" s="16" t="n">
        <v>13</v>
      </c>
      <c r="J29" s="17" t="inlineStr">
        <is>
          <t>Amber/Oriental</t>
        </is>
      </c>
      <c r="K29" s="17" t="inlineStr">
        <is>
          <t>Mandarin, Cardamom, Saffron</t>
        </is>
      </c>
      <c r="L29" s="17" t="inlineStr">
        <is>
          <t>Orange Blossom, Kulfi, Rose</t>
        </is>
      </c>
      <c r="M29" s="17" t="inlineStr">
        <is>
          <t>Amber, Sandalwood, Vanilla</t>
        </is>
      </c>
      <c r="N29" s="17" t="inlineStr">
        <is>
          <t>Masculine</t>
        </is>
      </c>
      <c r="O29" s="17" t="inlineStr">
        <is>
          <t>Opens with mandarin, cardamom and saffron, moves through orange blossom and kulfi, settles into amber and sandalwood. Spiced and sensual, the kind of scent people lean in for. A confident one-bottle-does-it-all choice, concentrated enough to carry into the evening.</t>
        </is>
      </c>
    </row>
    <row r="30" ht="15" customHeight="1" s="11">
      <c r="A30" s="14" t="inlineStr">
        <is>
          <t>Bvlgari</t>
        </is>
      </c>
      <c r="B30" s="14" t="inlineStr">
        <is>
          <t>Man in Black</t>
        </is>
      </c>
      <c r="C30" s="14" t="inlineStr">
        <is>
          <t>EDP</t>
        </is>
      </c>
      <c r="D30" s="14" t="inlineStr">
        <is>
          <t>100ml</t>
        </is>
      </c>
      <c r="E30" s="14">
        <f>IF(AND(A30&lt;&gt;"",B30&lt;&gt;"",D30&lt;&gt;""),UPPER(SUBSTITUTE(A30," ","-"))&amp;"-"&amp;UPPER(SUBSTITUTE(B30," ","-"))&amp;"-"&amp;UPPER(SUBSTITUTE(D30," ","-")),"")</f>
        <v/>
      </c>
      <c r="F30" s="14" t="inlineStr">
        <is>
          <t>200100003699</t>
        </is>
      </c>
      <c r="G30" s="15" t="n">
        <v>85</v>
      </c>
      <c r="H30" s="15" t="n">
        <v>47</v>
      </c>
      <c r="I30" s="16" t="n">
        <v>12</v>
      </c>
      <c r="J30" s="17" t="inlineStr">
        <is>
          <t>Amber/Oriental</t>
        </is>
      </c>
      <c r="K30" s="17" t="inlineStr">
        <is>
          <t>Spices, Rum</t>
        </is>
      </c>
      <c r="L30" s="17" t="inlineStr">
        <is>
          <t>Tuberose, Iris, Leather</t>
        </is>
      </c>
      <c r="M30" s="17" t="inlineStr">
        <is>
          <t>Tonka, Benzoin, Guaiac Wood</t>
        </is>
      </c>
      <c r="N30" s="17" t="inlineStr">
        <is>
          <t>Masculine</t>
        </is>
      </c>
      <c r="O30" s="17" t="inlineStr">
        <is>
          <t>Opens with spices and rum, moves through tuberose and iris, settles into tonka and benzoin. Warm and resinous, glowing rather than shouting. A dependable, everyday men's signature, concentrated enough to carry into the evening.</t>
        </is>
      </c>
    </row>
    <row r="31" ht="15" customHeight="1" s="11">
      <c r="A31" s="14" t="inlineStr">
        <is>
          <t>Chanel</t>
        </is>
      </c>
      <c r="B31" s="14" t="inlineStr">
        <is>
          <t>Coco Mademoiselle</t>
        </is>
      </c>
      <c r="C31" s="14" t="inlineStr">
        <is>
          <t>EDP</t>
        </is>
      </c>
      <c r="D31" s="14" t="inlineStr">
        <is>
          <t>100ml</t>
        </is>
      </c>
      <c r="E31" s="14">
        <f>IF(AND(A31&lt;&gt;"",B31&lt;&gt;"",D31&lt;&gt;""),UPPER(SUBSTITUTE(A31," ","-"))&amp;"-"&amp;UPPER(SUBSTITUTE(B31," ","-"))&amp;"-"&amp;UPPER(SUBSTITUTE(D31," ","-")),"")</f>
        <v/>
      </c>
      <c r="F31" s="14" t="inlineStr">
        <is>
          <t>200100003836</t>
        </is>
      </c>
      <c r="G31" s="15" t="n">
        <v>145</v>
      </c>
      <c r="H31" s="15" t="n">
        <v>80</v>
      </c>
      <c r="I31" s="16" t="n">
        <v>13</v>
      </c>
      <c r="J31" s="17" t="inlineStr">
        <is>
          <t>Chypre</t>
        </is>
      </c>
      <c r="K31" s="17" t="inlineStr">
        <is>
          <t>Orange, Bergamot, Mandarin</t>
        </is>
      </c>
      <c r="L31" s="17" t="inlineStr">
        <is>
          <t>Rose, Jasmine, Litchi</t>
        </is>
      </c>
      <c r="M31" s="17" t="inlineStr">
        <is>
          <t>Patchouli, Vetiver, Vanilla, White Musk</t>
        </is>
      </c>
      <c r="N31" s="17" t="inlineStr">
        <is>
          <t>Feminine</t>
        </is>
      </c>
      <c r="O31" s="17" t="inlineStr">
        <is>
          <t>Opens with orange, bergamot and mandarin, moves through rose and jasmine, settles into patchouli and vetiver. Earthy and refined, with real depth to it. An easy, wear-anywhere choice, concentrated enough to carry into the evening.</t>
        </is>
      </c>
    </row>
    <row r="32" ht="15" customHeight="1" s="11">
      <c r="A32" s="14" t="inlineStr">
        <is>
          <t>Chanel</t>
        </is>
      </c>
      <c r="B32" s="14" t="inlineStr">
        <is>
          <t>No. 5</t>
        </is>
      </c>
      <c r="C32" s="14" t="inlineStr">
        <is>
          <t>EDP</t>
        </is>
      </c>
      <c r="D32" s="14" t="inlineStr">
        <is>
          <t>100ml</t>
        </is>
      </c>
      <c r="E32" s="14">
        <f>IF(AND(A32&lt;&gt;"",B32&lt;&gt;"",D32&lt;&gt;""),UPPER(SUBSTITUTE(A32," ","-"))&amp;"-"&amp;UPPER(SUBSTITUTE(B32," ","-"))&amp;"-"&amp;UPPER(SUBSTITUTE(D32," ","-")),"")</f>
        <v/>
      </c>
      <c r="F32" s="14" t="inlineStr">
        <is>
          <t>200100003973</t>
        </is>
      </c>
      <c r="G32" s="15" t="n">
        <v>150</v>
      </c>
      <c r="H32" s="15" t="n">
        <v>82</v>
      </c>
      <c r="I32" s="16" t="n">
        <v>10</v>
      </c>
      <c r="J32" s="17" t="inlineStr">
        <is>
          <t>Floral</t>
        </is>
      </c>
      <c r="K32" s="17" t="inlineStr">
        <is>
          <t>Aldehydes, Neroli, Ylang-Ylang</t>
        </is>
      </c>
      <c r="L32" s="17" t="inlineStr">
        <is>
          <t>Rose, Jasmine, Iris</t>
        </is>
      </c>
      <c r="M32" s="17" t="inlineStr">
        <is>
          <t>Sandalwood, Vanilla, Vetiver, Amber</t>
        </is>
      </c>
      <c r="N32" s="17" t="inlineStr">
        <is>
          <t>Feminine</t>
        </is>
      </c>
      <c r="O32" s="17" t="inlineStr">
        <is>
          <t>Opens with aldehydes, neroli and ylang-ylang, moves through rose and jasmine, settles into sandalwood and vanilla. Delicate but never quiet, a bouquet that lingers. An easy, wear-anywhere choice, concentrated enough to carry into the evening.</t>
        </is>
      </c>
    </row>
    <row r="33" ht="15" customHeight="1" s="11">
      <c r="A33" s="14" t="inlineStr">
        <is>
          <t>Chanel</t>
        </is>
      </c>
      <c r="B33" s="14" t="inlineStr">
        <is>
          <t>Chance Eau Tendre</t>
        </is>
      </c>
      <c r="C33" s="14" t="inlineStr">
        <is>
          <t>EDT</t>
        </is>
      </c>
      <c r="D33" s="14" t="inlineStr">
        <is>
          <t>100ml</t>
        </is>
      </c>
      <c r="E33" s="14">
        <f>IF(AND(A33&lt;&gt;"",B33&lt;&gt;"",D33&lt;&gt;""),UPPER(SUBSTITUTE(A33," ","-"))&amp;"-"&amp;UPPER(SUBSTITUTE(B33," ","-"))&amp;"-"&amp;UPPER(SUBSTITUTE(D33," ","-")),"")</f>
        <v/>
      </c>
      <c r="F33" s="14" t="inlineStr">
        <is>
          <t>200100004110</t>
        </is>
      </c>
      <c r="G33" s="15" t="n">
        <v>135</v>
      </c>
      <c r="H33" s="15" t="n">
        <v>74</v>
      </c>
      <c r="I33" s="16" t="n">
        <v>8</v>
      </c>
      <c r="J33" s="17" t="inlineStr">
        <is>
          <t>Floral</t>
        </is>
      </c>
      <c r="K33" s="17" t="inlineStr">
        <is>
          <t>Grapefruit, Quince</t>
        </is>
      </c>
      <c r="L33" s="17" t="inlineStr">
        <is>
          <t>Jasmine, Hyacinth</t>
        </is>
      </c>
      <c r="M33" s="17" t="inlineStr">
        <is>
          <t>Amber, White Musk, Iris</t>
        </is>
      </c>
      <c r="N33" s="17" t="inlineStr">
        <is>
          <t>Feminine</t>
        </is>
      </c>
      <c r="O33" s="17" t="inlineStr">
        <is>
          <t>Opens with grapefruit and quince, moves through jasmine and hyacinth, settles into amber and white musk. Delicate but never quiet, a bouquet that lingers. An easy, wear-anywhere choice, light enough for daytime, with a few hours of wear.</t>
        </is>
      </c>
    </row>
    <row r="34" ht="15" customHeight="1" s="11">
      <c r="A34" s="14" t="inlineStr">
        <is>
          <t>Dior</t>
        </is>
      </c>
      <c r="B34" s="14" t="inlineStr">
        <is>
          <t>J'adore</t>
        </is>
      </c>
      <c r="C34" s="14" t="inlineStr">
        <is>
          <t>EDP</t>
        </is>
      </c>
      <c r="D34" s="14" t="inlineStr">
        <is>
          <t>100ml</t>
        </is>
      </c>
      <c r="E34" s="14">
        <f>IF(AND(A34&lt;&gt;"",B34&lt;&gt;"",D34&lt;&gt;""),UPPER(SUBSTITUTE(A34," ","-"))&amp;"-"&amp;UPPER(SUBSTITUTE(B34," ","-"))&amp;"-"&amp;UPPER(SUBSTITUTE(D34," ","-")),"")</f>
        <v/>
      </c>
      <c r="F34" s="14" t="inlineStr">
        <is>
          <t>200100004247</t>
        </is>
      </c>
      <c r="G34" s="15" t="n">
        <v>150</v>
      </c>
      <c r="H34" s="15" t="n">
        <v>82</v>
      </c>
      <c r="I34" s="16" t="n">
        <v>5</v>
      </c>
      <c r="J34" s="17" t="inlineStr">
        <is>
          <t>Floral</t>
        </is>
      </c>
      <c r="K34" s="17" t="inlineStr">
        <is>
          <t>Pear, Melon, Magnolia</t>
        </is>
      </c>
      <c r="L34" s="17" t="inlineStr">
        <is>
          <t>Rose, Jasmine, Orchid</t>
        </is>
      </c>
      <c r="M34" s="17" t="inlineStr">
        <is>
          <t>Musk, Vanilla, Blackberry</t>
        </is>
      </c>
      <c r="N34" s="17" t="inlineStr">
        <is>
          <t>Feminine</t>
        </is>
      </c>
      <c r="O34" s="17" t="inlineStr">
        <is>
          <t>Opens with pear, melon and magnolia, moves through rose and jasmine, settles into musk and vanilla. Romantic and airy, blooming outward as it wears. A confident one-bottle-does-it-all pick, concentrated enough to carry into the evening.</t>
        </is>
      </c>
    </row>
    <row r="35" ht="15" customHeight="1" s="11">
      <c r="A35" s="14" t="inlineStr">
        <is>
          <t>Dior</t>
        </is>
      </c>
      <c r="B35" s="14" t="inlineStr">
        <is>
          <t>Miss Dior</t>
        </is>
      </c>
      <c r="C35" s="14" t="inlineStr">
        <is>
          <t>EDP</t>
        </is>
      </c>
      <c r="D35" s="14" t="inlineStr">
        <is>
          <t>100ml</t>
        </is>
      </c>
      <c r="E35" s="14">
        <f>IF(AND(A35&lt;&gt;"",B35&lt;&gt;"",D35&lt;&gt;""),UPPER(SUBSTITUTE(A35," ","-"))&amp;"-"&amp;UPPER(SUBSTITUTE(B35," ","-"))&amp;"-"&amp;UPPER(SUBSTITUTE(D35," ","-")),"")</f>
        <v/>
      </c>
      <c r="F35" s="14" t="inlineStr">
        <is>
          <t>200100004384</t>
        </is>
      </c>
      <c r="G35" s="15" t="n">
        <v>145</v>
      </c>
      <c r="H35" s="15" t="n">
        <v>80</v>
      </c>
      <c r="I35" s="16" t="n">
        <v>9</v>
      </c>
      <c r="J35" s="17" t="inlineStr">
        <is>
          <t>Floral</t>
        </is>
      </c>
      <c r="K35" s="17" t="inlineStr">
        <is>
          <t>Blood Orange, Mandarin</t>
        </is>
      </c>
      <c r="L35" s="17" t="inlineStr">
        <is>
          <t>Grasse Rose, Peony</t>
        </is>
      </c>
      <c r="M35" s="17" t="inlineStr">
        <is>
          <t>Rosewood, Patchouli, White Musk</t>
        </is>
      </c>
      <c r="N35" s="17" t="inlineStr">
        <is>
          <t>Feminine</t>
        </is>
      </c>
      <c r="O35" s="17" t="inlineStr">
        <is>
          <t>Opens with blood orange and mandarin, moves through grasse rose and peony, settles into rosewood and patchouli. Soft-petaled and radiant, built around a true floral heart. A versatile, everyday signature, concentrated enough to carry into the evening.</t>
        </is>
      </c>
    </row>
    <row r="36" ht="15" customHeight="1" s="11">
      <c r="A36" s="14" t="inlineStr">
        <is>
          <t>Lancôme</t>
        </is>
      </c>
      <c r="B36" s="14" t="inlineStr">
        <is>
          <t>La Vie Est Belle</t>
        </is>
      </c>
      <c r="C36" s="14" t="inlineStr">
        <is>
          <t>EDP</t>
        </is>
      </c>
      <c r="D36" s="14" t="inlineStr">
        <is>
          <t>100ml</t>
        </is>
      </c>
      <c r="E36" s="14">
        <f>IF(AND(A36&lt;&gt;"",B36&lt;&gt;"",D36&lt;&gt;""),UPPER(SUBSTITUTE(A36," ","-"))&amp;"-"&amp;UPPER(SUBSTITUTE(B36," ","-"))&amp;"-"&amp;UPPER(SUBSTITUTE(D36," ","-")),"")</f>
        <v/>
      </c>
      <c r="F36" s="14" t="inlineStr">
        <is>
          <t>200100004521</t>
        </is>
      </c>
      <c r="G36" s="15" t="n">
        <v>110</v>
      </c>
      <c r="H36" s="15" t="n">
        <v>61</v>
      </c>
      <c r="I36" s="16" t="n">
        <v>11</v>
      </c>
      <c r="J36" s="17" t="inlineStr">
        <is>
          <t>Gourmand</t>
        </is>
      </c>
      <c r="K36" s="17" t="inlineStr">
        <is>
          <t>Blackcurrant, Pear</t>
        </is>
      </c>
      <c r="L36" s="17" t="inlineStr">
        <is>
          <t>Iris, Jasmine, Orange Blossom</t>
        </is>
      </c>
      <c r="M36" s="17" t="inlineStr">
        <is>
          <t>Praline, Vanilla, Patchouli, Tonka</t>
        </is>
      </c>
      <c r="N36" s="17" t="inlineStr">
        <is>
          <t>Feminine</t>
        </is>
      </c>
      <c r="O36" s="17" t="inlineStr">
        <is>
          <t>Opens with blackcurrant and pear, moves through iris and jasmine, settles into praline and vanilla. Sweet and edible without tipping into dessert. A versatile, everyday signature, concentrated enough to carry into the evening.</t>
        </is>
      </c>
    </row>
    <row r="37" ht="15" customHeight="1" s="11">
      <c r="A37" s="14" t="inlineStr">
        <is>
          <t>Yves Saint Laurent</t>
        </is>
      </c>
      <c r="B37" s="14" t="inlineStr">
        <is>
          <t>Black Opium</t>
        </is>
      </c>
      <c r="C37" s="14" t="inlineStr">
        <is>
          <t>EDP</t>
        </is>
      </c>
      <c r="D37" s="14" t="inlineStr">
        <is>
          <t>90ml</t>
        </is>
      </c>
      <c r="E37" s="14">
        <f>IF(AND(A37&lt;&gt;"",B37&lt;&gt;"",D37&lt;&gt;""),UPPER(SUBSTITUTE(A37," ","-"))&amp;"-"&amp;UPPER(SUBSTITUTE(B37," ","-"))&amp;"-"&amp;UPPER(SUBSTITUTE(D37," ","-")),"")</f>
        <v/>
      </c>
      <c r="F37" s="14" t="inlineStr">
        <is>
          <t>200100004658</t>
        </is>
      </c>
      <c r="G37" s="15" t="n">
        <v>120</v>
      </c>
      <c r="H37" s="15" t="n">
        <v>66</v>
      </c>
      <c r="I37" s="16" t="n">
        <v>6</v>
      </c>
      <c r="J37" s="17" t="inlineStr">
        <is>
          <t>Gourmand</t>
        </is>
      </c>
      <c r="K37" s="17" t="inlineStr">
        <is>
          <t>Pink Pepper, Orange Blossom, Pear</t>
        </is>
      </c>
      <c r="L37" s="17" t="inlineStr">
        <is>
          <t>Coffee, Jasmine, Bitter Almond</t>
        </is>
      </c>
      <c r="M37" s="17" t="inlineStr">
        <is>
          <t>Vanilla, Patchouli, Cedar</t>
        </is>
      </c>
      <c r="N37" s="17" t="inlineStr">
        <is>
          <t>Feminine</t>
        </is>
      </c>
      <c r="O37" s="17" t="inlineStr">
        <is>
          <t>Opens with pink pepper, orange blossom and pear, moves through coffee and jasmine, settles into vanilla and patchouli. Sweet and edible without tipping into dessert. A versatile, everyday signature, concentrated enough to carry into the evening.</t>
        </is>
      </c>
    </row>
    <row r="38" ht="15" customHeight="1" s="11">
      <c r="A38" s="14" t="inlineStr">
        <is>
          <t>Yves Saint Laurent</t>
        </is>
      </c>
      <c r="B38" s="14" t="inlineStr">
        <is>
          <t>Libre</t>
        </is>
      </c>
      <c r="C38" s="14" t="inlineStr">
        <is>
          <t>EDP</t>
        </is>
      </c>
      <c r="D38" s="14" t="inlineStr">
        <is>
          <t>90ml</t>
        </is>
      </c>
      <c r="E38" s="14">
        <f>IF(AND(A38&lt;&gt;"",B38&lt;&gt;"",D38&lt;&gt;""),UPPER(SUBSTITUTE(A38," ","-"))&amp;"-"&amp;UPPER(SUBSTITUTE(B38," ","-"))&amp;"-"&amp;UPPER(SUBSTITUTE(D38," ","-")),"")</f>
        <v/>
      </c>
      <c r="F38" s="14" t="inlineStr">
        <is>
          <t>200100004795</t>
        </is>
      </c>
      <c r="G38" s="15" t="n">
        <v>120</v>
      </c>
      <c r="H38" s="15" t="n">
        <v>66</v>
      </c>
      <c r="I38" s="16" t="n">
        <v>14</v>
      </c>
      <c r="J38" s="17" t="inlineStr">
        <is>
          <t>Floral</t>
        </is>
      </c>
      <c r="K38" s="17" t="inlineStr">
        <is>
          <t>Mandarin, Lavender, Blackcurrant</t>
        </is>
      </c>
      <c r="L38" s="17" t="inlineStr">
        <is>
          <t>Lavender, Orange Blossom, Jasmine</t>
        </is>
      </c>
      <c r="M38" s="17" t="inlineStr">
        <is>
          <t>Vanilla, Musk, Cedar, Amber</t>
        </is>
      </c>
      <c r="N38" s="17" t="inlineStr">
        <is>
          <t>Feminine</t>
        </is>
      </c>
      <c r="O38" s="17" t="inlineStr">
        <is>
          <t>Opens with mandarin, lavender and blackcurrant, moves through lavender and orange blossom, settles into vanilla and musk. Soft-petaled and radiant, built around a true floral heart. A versatile, everyday signature, concentrated enough to carry into the evening.</t>
        </is>
      </c>
    </row>
    <row r="39" ht="15" customHeight="1" s="11">
      <c r="A39" s="14" t="inlineStr">
        <is>
          <t>Viktor&amp;Rolf</t>
        </is>
      </c>
      <c r="B39" s="14" t="inlineStr">
        <is>
          <t>Flowerbomb</t>
        </is>
      </c>
      <c r="C39" s="14" t="inlineStr">
        <is>
          <t>EDP</t>
        </is>
      </c>
      <c r="D39" s="14" t="inlineStr">
        <is>
          <t>100ml</t>
        </is>
      </c>
      <c r="E39" s="14">
        <f>IF(AND(A39&lt;&gt;"",B39&lt;&gt;"",D39&lt;&gt;""),UPPER(SUBSTITUTE(A39," ","-"))&amp;"-"&amp;UPPER(SUBSTITUTE(B39," ","-"))&amp;"-"&amp;UPPER(SUBSTITUTE(D39," ","-")),"")</f>
        <v/>
      </c>
      <c r="F39" s="14" t="inlineStr">
        <is>
          <t>200100004932</t>
        </is>
      </c>
      <c r="G39" s="15" t="n">
        <v>120</v>
      </c>
      <c r="H39" s="15" t="n">
        <v>66</v>
      </c>
      <c r="I39" s="16" t="n">
        <v>2</v>
      </c>
      <c r="J39" s="17" t="inlineStr">
        <is>
          <t>Floral</t>
        </is>
      </c>
      <c r="K39" s="17" t="inlineStr">
        <is>
          <t>Tea, Bergamot, Osmanthus</t>
        </is>
      </c>
      <c r="L39" s="17" t="inlineStr">
        <is>
          <t>Jasmine, Orchid, Rose, Freesia</t>
        </is>
      </c>
      <c r="M39" s="17" t="inlineStr">
        <is>
          <t>Patchouli, Musk, Vanilla</t>
        </is>
      </c>
      <c r="N39" s="17" t="inlineStr">
        <is>
          <t>Feminine</t>
        </is>
      </c>
      <c r="O39" s="17" t="inlineStr">
        <is>
          <t>Opens with tea, bergamot and osmanthus, moves through jasmine and orchid, settles into patchouli and musk. Soft-petaled and radiant, built around a true floral heart. A versatile, everyday signature, concentrated enough to carry into the evening.</t>
        </is>
      </c>
    </row>
    <row r="40" ht="15" customHeight="1" s="11">
      <c r="A40" s="14" t="inlineStr">
        <is>
          <t>Carolina Herrera</t>
        </is>
      </c>
      <c r="B40" s="14" t="inlineStr">
        <is>
          <t>Good Girl</t>
        </is>
      </c>
      <c r="C40" s="14" t="inlineStr">
        <is>
          <t>EDP</t>
        </is>
      </c>
      <c r="D40" s="14" t="inlineStr">
        <is>
          <t>80ml</t>
        </is>
      </c>
      <c r="E40" s="14">
        <f>IF(AND(A40&lt;&gt;"",B40&lt;&gt;"",D40&lt;&gt;""),UPPER(SUBSTITUTE(A40," ","-"))&amp;"-"&amp;UPPER(SUBSTITUTE(B40," ","-"))&amp;"-"&amp;UPPER(SUBSTITUTE(D40," ","-")),"")</f>
        <v/>
      </c>
      <c r="F40" s="14" t="inlineStr">
        <is>
          <t>200100005069</t>
        </is>
      </c>
      <c r="G40" s="15" t="n">
        <v>120</v>
      </c>
      <c r="H40" s="15" t="n">
        <v>66</v>
      </c>
      <c r="I40" s="16" t="n">
        <v>14</v>
      </c>
      <c r="J40" s="17" t="inlineStr">
        <is>
          <t>Amber/Oriental</t>
        </is>
      </c>
      <c r="K40" s="17" t="inlineStr">
        <is>
          <t>Almond, Coffee, Bergamot</t>
        </is>
      </c>
      <c r="L40" s="17" t="inlineStr">
        <is>
          <t>Tuberose, Jasmine, Orange Blossom</t>
        </is>
      </c>
      <c r="M40" s="17" t="inlineStr">
        <is>
          <t>Tonka, Cacao, Vanilla, Praline</t>
        </is>
      </c>
      <c r="N40" s="17" t="inlineStr">
        <is>
          <t>Feminine</t>
        </is>
      </c>
      <c r="O40" s="17" t="inlineStr">
        <is>
          <t>Opens with almond, coffee and bergamot, moves through tuberose and jasmine, settles into tonka and cacao. Rich and enveloping, built for cooler nights. An easy, wear-anywhere choice, concentrated enough to carry into the evening.</t>
        </is>
      </c>
    </row>
    <row r="41" ht="15" customHeight="1" s="11">
      <c r="A41" s="14" t="inlineStr">
        <is>
          <t>Marc Jacobs</t>
        </is>
      </c>
      <c r="B41" s="14" t="inlineStr">
        <is>
          <t>Daisy</t>
        </is>
      </c>
      <c r="C41" s="14" t="inlineStr">
        <is>
          <t>EDT</t>
        </is>
      </c>
      <c r="D41" s="14" t="inlineStr">
        <is>
          <t>100ml</t>
        </is>
      </c>
      <c r="E41" s="14">
        <f>IF(AND(A41&lt;&gt;"",B41&lt;&gt;"",D41&lt;&gt;""),UPPER(SUBSTITUTE(A41," ","-"))&amp;"-"&amp;UPPER(SUBSTITUTE(B41," ","-"))&amp;"-"&amp;UPPER(SUBSTITUTE(D41," ","-")),"")</f>
        <v/>
      </c>
      <c r="F41" s="14" t="inlineStr">
        <is>
          <t>200100005206</t>
        </is>
      </c>
      <c r="G41" s="15" t="n">
        <v>95</v>
      </c>
      <c r="H41" s="15" t="n">
        <v>52</v>
      </c>
      <c r="I41" s="16" t="n">
        <v>14</v>
      </c>
      <c r="J41" s="17" t="inlineStr">
        <is>
          <t>Floral</t>
        </is>
      </c>
      <c r="K41" s="17" t="inlineStr">
        <is>
          <t>Strawberry, Violet Leaf, Grapefruit</t>
        </is>
      </c>
      <c r="L41" s="17" t="inlineStr">
        <is>
          <t>Jasmine, Gardenia, Violet</t>
        </is>
      </c>
      <c r="M41" s="17" t="inlineStr">
        <is>
          <t>Musk, Vanilla, White Woods</t>
        </is>
      </c>
      <c r="N41" s="17" t="inlineStr">
        <is>
          <t>Feminine</t>
        </is>
      </c>
      <c r="O41" s="17" t="inlineStr">
        <is>
          <t>Opens with strawberry, violet leaf and grapefruit, moves through jasmine and gardenia, settles into musk and vanilla. Romantic and airy, blooming outward as it wears. A confident one-bottle-does-it-all pick, light enough for daytime, with a few hours of wear.</t>
        </is>
      </c>
    </row>
    <row r="42" ht="15" customHeight="1" s="11">
      <c r="A42" s="14" t="inlineStr">
        <is>
          <t>Paco Rabanne</t>
        </is>
      </c>
      <c r="B42" s="14" t="inlineStr">
        <is>
          <t>Lady Million</t>
        </is>
      </c>
      <c r="C42" s="14" t="inlineStr">
        <is>
          <t>EDP</t>
        </is>
      </c>
      <c r="D42" s="14" t="inlineStr">
        <is>
          <t>80ml</t>
        </is>
      </c>
      <c r="E42" s="14">
        <f>IF(AND(A42&lt;&gt;"",B42&lt;&gt;"",D42&lt;&gt;""),UPPER(SUBSTITUTE(A42," ","-"))&amp;"-"&amp;UPPER(SUBSTITUTE(B42," ","-"))&amp;"-"&amp;UPPER(SUBSTITUTE(D42," ","-")),"")</f>
        <v/>
      </c>
      <c r="F42" s="14" t="inlineStr">
        <is>
          <t>200100005343</t>
        </is>
      </c>
      <c r="G42" s="15" t="n">
        <v>95</v>
      </c>
      <c r="H42" s="15" t="n">
        <v>52</v>
      </c>
      <c r="I42" s="16" t="n">
        <v>4</v>
      </c>
      <c r="J42" s="17" t="inlineStr">
        <is>
          <t>Floral</t>
        </is>
      </c>
      <c r="K42" s="17" t="inlineStr">
        <is>
          <t>Bitter Orange, Raspberry, Neroli</t>
        </is>
      </c>
      <c r="L42" s="17" t="inlineStr">
        <is>
          <t>Orange Blossom, Jasmine, Gardenia</t>
        </is>
      </c>
      <c r="M42" s="17" t="inlineStr">
        <is>
          <t>Honey, Patchouli, Amber</t>
        </is>
      </c>
      <c r="N42" s="17" t="inlineStr">
        <is>
          <t>Feminine</t>
        </is>
      </c>
      <c r="O42" s="17" t="inlineStr">
        <is>
          <t>Opens with bitter orange, raspberry and neroli, moves through orange blossom and jasmine, settles into honey and patchouli. Romantic and airy, blooming outward as it wears. A confident one-bottle-does-it-all pick, concentrated enough to carry into the evening.</t>
        </is>
      </c>
    </row>
    <row r="43" ht="15" customHeight="1" s="11">
      <c r="A43" s="14" t="inlineStr">
        <is>
          <t>Giorgio Armani</t>
        </is>
      </c>
      <c r="B43" s="14" t="inlineStr">
        <is>
          <t>Sì</t>
        </is>
      </c>
      <c r="C43" s="14" t="inlineStr">
        <is>
          <t>EDP</t>
        </is>
      </c>
      <c r="D43" s="14" t="inlineStr">
        <is>
          <t>100ml</t>
        </is>
      </c>
      <c r="E43" s="14">
        <f>IF(AND(A43&lt;&gt;"",B43&lt;&gt;"",D43&lt;&gt;""),UPPER(SUBSTITUTE(A43," ","-"))&amp;"-"&amp;UPPER(SUBSTITUTE(B43," ","-"))&amp;"-"&amp;UPPER(SUBSTITUTE(D43," ","-")),"")</f>
        <v/>
      </c>
      <c r="F43" s="14" t="inlineStr">
        <is>
          <t>200100005480</t>
        </is>
      </c>
      <c r="G43" s="15" t="n">
        <v>110</v>
      </c>
      <c r="H43" s="15" t="n">
        <v>61</v>
      </c>
      <c r="I43" s="16" t="n">
        <v>13</v>
      </c>
      <c r="J43" s="17" t="inlineStr">
        <is>
          <t>Chypre</t>
        </is>
      </c>
      <c r="K43" s="17" t="inlineStr">
        <is>
          <t>Blackcurrant, Mandarin</t>
        </is>
      </c>
      <c r="L43" s="17" t="inlineStr">
        <is>
          <t>Rose, Freesia</t>
        </is>
      </c>
      <c r="M43" s="17" t="inlineStr">
        <is>
          <t>Patchouli, Vanilla, Ambroxan</t>
        </is>
      </c>
      <c r="N43" s="17" t="inlineStr">
        <is>
          <t>Feminine</t>
        </is>
      </c>
      <c r="O43" s="17" t="inlineStr">
        <is>
          <t>Opens with blackcurrant and mandarin, moves through rose and freesia, settles into patchouli and vanilla. Earthy and refined, with real depth to it. An easy, wear-anywhere choice, concentrated enough to carry into the evening.</t>
        </is>
      </c>
    </row>
    <row r="44" ht="15" customHeight="1" s="11">
      <c r="A44" s="14" t="inlineStr">
        <is>
          <t>Versace</t>
        </is>
      </c>
      <c r="B44" s="14" t="inlineStr">
        <is>
          <t>Bright Crystal</t>
        </is>
      </c>
      <c r="C44" s="14" t="inlineStr">
        <is>
          <t>EDT</t>
        </is>
      </c>
      <c r="D44" s="14" t="inlineStr">
        <is>
          <t>90ml</t>
        </is>
      </c>
      <c r="E44" s="14">
        <f>IF(AND(A44&lt;&gt;"",B44&lt;&gt;"",D44&lt;&gt;""),UPPER(SUBSTITUTE(A44," ","-"))&amp;"-"&amp;UPPER(SUBSTITUTE(B44," ","-"))&amp;"-"&amp;UPPER(SUBSTITUTE(D44," ","-")),"")</f>
        <v/>
      </c>
      <c r="F44" s="14" t="inlineStr">
        <is>
          <t>200100005617</t>
        </is>
      </c>
      <c r="G44" s="15" t="n">
        <v>75</v>
      </c>
      <c r="H44" s="15" t="n">
        <v>41</v>
      </c>
      <c r="I44" s="16" t="n">
        <v>8</v>
      </c>
      <c r="J44" s="17" t="inlineStr">
        <is>
          <t>Floral</t>
        </is>
      </c>
      <c r="K44" s="17" t="inlineStr">
        <is>
          <t>Pomegranate, Yuzu, Ice</t>
        </is>
      </c>
      <c r="L44" s="17" t="inlineStr">
        <is>
          <t>Peony, Magnolia, Lotus</t>
        </is>
      </c>
      <c r="M44" s="17" t="inlineStr">
        <is>
          <t>Musk, Amber, Mahogany</t>
        </is>
      </c>
      <c r="N44" s="17" t="inlineStr">
        <is>
          <t>Feminine</t>
        </is>
      </c>
      <c r="O44" s="17" t="inlineStr">
        <is>
          <t>Opens with pomegranate, yuzu and ice, moves through peony and magnolia, settles into musk and amber. Romantic and airy, blooming outward as it wears. A confident one-bottle-does-it-all pick, light enough for daytime, with a few hours of wear.</t>
        </is>
      </c>
    </row>
    <row r="45" ht="15" customHeight="1" s="11">
      <c r="A45" s="14" t="inlineStr">
        <is>
          <t>Dolce &amp; Gabbana</t>
        </is>
      </c>
      <c r="B45" s="14" t="inlineStr">
        <is>
          <t>Light Blue</t>
        </is>
      </c>
      <c r="C45" s="14" t="inlineStr">
        <is>
          <t>EDT</t>
        </is>
      </c>
      <c r="D45" s="14" t="inlineStr">
        <is>
          <t>100ml</t>
        </is>
      </c>
      <c r="E45" s="14">
        <f>IF(AND(A45&lt;&gt;"",B45&lt;&gt;"",D45&lt;&gt;""),UPPER(SUBSTITUTE(A45," ","-"))&amp;"-"&amp;UPPER(SUBSTITUTE(B45," ","-"))&amp;"-"&amp;UPPER(SUBSTITUTE(D45," ","-")),"")</f>
        <v/>
      </c>
      <c r="F45" s="14" t="inlineStr">
        <is>
          <t>200100005754</t>
        </is>
      </c>
      <c r="G45" s="15" t="n">
        <v>80</v>
      </c>
      <c r="H45" s="15" t="n">
        <v>44</v>
      </c>
      <c r="I45" s="16" t="n">
        <v>7</v>
      </c>
      <c r="J45" s="17" t="inlineStr">
        <is>
          <t>Citrus</t>
        </is>
      </c>
      <c r="K45" s="17" t="inlineStr">
        <is>
          <t>Sicilian Lemon, Apple, Bellflower</t>
        </is>
      </c>
      <c r="L45" s="17" t="inlineStr">
        <is>
          <t>Bamboo, Jasmine, White Rose</t>
        </is>
      </c>
      <c r="M45" s="17" t="inlineStr">
        <is>
          <t>Cedar, Amber, Musk</t>
        </is>
      </c>
      <c r="N45" s="17" t="inlineStr">
        <is>
          <t>Feminine</t>
        </is>
      </c>
      <c r="O45" s="17" t="inlineStr">
        <is>
          <t>Opens with sicilian lemon, apple and bellflower, moves through bamboo and jasmine, settles into cedar and amber. Sunlit and clean, never heavy. A confident one-bottle-does-it-all pick, light enough for daytime, with a few hours of wear.</t>
        </is>
      </c>
    </row>
    <row r="46" ht="15" customHeight="1" s="11">
      <c r="A46" s="14" t="inlineStr">
        <is>
          <t>Mugler</t>
        </is>
      </c>
      <c r="B46" s="14" t="inlineStr">
        <is>
          <t>Alien</t>
        </is>
      </c>
      <c r="C46" s="14" t="inlineStr">
        <is>
          <t>EDP</t>
        </is>
      </c>
      <c r="D46" s="14" t="inlineStr">
        <is>
          <t>90ml</t>
        </is>
      </c>
      <c r="E46" s="14">
        <f>IF(AND(A46&lt;&gt;"",B46&lt;&gt;"",D46&lt;&gt;""),UPPER(SUBSTITUTE(A46," ","-"))&amp;"-"&amp;UPPER(SUBSTITUTE(B46," ","-"))&amp;"-"&amp;UPPER(SUBSTITUTE(D46," ","-")),"")</f>
        <v/>
      </c>
      <c r="F46" s="14" t="inlineStr">
        <is>
          <t>200100005891</t>
        </is>
      </c>
      <c r="G46" s="15" t="n">
        <v>120</v>
      </c>
      <c r="H46" s="15" t="n">
        <v>66</v>
      </c>
      <c r="I46" s="16" t="n">
        <v>6</v>
      </c>
      <c r="J46" s="17" t="inlineStr">
        <is>
          <t>Amber/Oriental</t>
        </is>
      </c>
      <c r="K46" s="17" t="inlineStr">
        <is>
          <t>Jasmine</t>
        </is>
      </c>
      <c r="L46" s="17" t="inlineStr">
        <is>
          <t>Cashmeran, Amber</t>
        </is>
      </c>
      <c r="M46" s="17" t="inlineStr">
        <is>
          <t>White Amber, Woody Notes</t>
        </is>
      </c>
      <c r="N46" s="17" t="inlineStr">
        <is>
          <t>Feminine</t>
        </is>
      </c>
      <c r="O46" s="17" t="inlineStr">
        <is>
          <t>Opens with jasmine, moves through cashmeran and amber, settles into white amber and woody notes. Spiced and sensual, the kind of scent people lean in for. A confident one-bottle-does-it-all pick, concentrated enough to carry into the evening.</t>
        </is>
      </c>
    </row>
    <row r="47" ht="15" customHeight="1" s="11">
      <c r="A47" s="14" t="inlineStr">
        <is>
          <t>Mugler</t>
        </is>
      </c>
      <c r="B47" s="14" t="inlineStr">
        <is>
          <t>Angel</t>
        </is>
      </c>
      <c r="C47" s="14" t="inlineStr">
        <is>
          <t>EDP</t>
        </is>
      </c>
      <c r="D47" s="14" t="inlineStr">
        <is>
          <t>100ml</t>
        </is>
      </c>
      <c r="E47" s="14">
        <f>IF(AND(A47&lt;&gt;"",B47&lt;&gt;"",D47&lt;&gt;""),UPPER(SUBSTITUTE(A47," ","-"))&amp;"-"&amp;UPPER(SUBSTITUTE(B47," ","-"))&amp;"-"&amp;UPPER(SUBSTITUTE(D47," ","-")),"")</f>
        <v/>
      </c>
      <c r="F47" s="14" t="inlineStr">
        <is>
          <t>200100006028</t>
        </is>
      </c>
      <c r="G47" s="15" t="n">
        <v>130</v>
      </c>
      <c r="H47" s="15" t="n">
        <v>72</v>
      </c>
      <c r="I47" s="16" t="n">
        <v>4</v>
      </c>
      <c r="J47" s="17" t="inlineStr">
        <is>
          <t>Gourmand</t>
        </is>
      </c>
      <c r="K47" s="17" t="inlineStr">
        <is>
          <t>Bergamot, Melon, Coconut</t>
        </is>
      </c>
      <c r="L47" s="17" t="inlineStr">
        <is>
          <t>Honey, Red Berries, Peach</t>
        </is>
      </c>
      <c r="M47" s="17" t="inlineStr">
        <is>
          <t>Vanilla, Patchouli, Chocolate, Caramel</t>
        </is>
      </c>
      <c r="N47" s="17" t="inlineStr">
        <is>
          <t>Feminine</t>
        </is>
      </c>
      <c r="O47" s="17" t="inlineStr">
        <is>
          <t>Opens with bergamot, melon and coconut, moves through honey and red berries, settles into vanilla and patchouli. Indulgent and cozy, built around real sweetness. A confident one-bottle-does-it-all pick, concentrated enough to carry into the evening.</t>
        </is>
      </c>
    </row>
    <row r="48" ht="15" customHeight="1" s="11">
      <c r="A48" s="14" t="inlineStr">
        <is>
          <t>Lancôme</t>
        </is>
      </c>
      <c r="B48" s="14" t="inlineStr">
        <is>
          <t>Idôle</t>
        </is>
      </c>
      <c r="C48" s="14" t="inlineStr">
        <is>
          <t>EDP</t>
        </is>
      </c>
      <c r="D48" s="14" t="inlineStr">
        <is>
          <t>75ml</t>
        </is>
      </c>
      <c r="E48" s="14">
        <f>IF(AND(A48&lt;&gt;"",B48&lt;&gt;"",D48&lt;&gt;""),UPPER(SUBSTITUTE(A48," ","-"))&amp;"-"&amp;UPPER(SUBSTITUTE(B48," ","-"))&amp;"-"&amp;UPPER(SUBSTITUTE(D48," ","-")),"")</f>
        <v/>
      </c>
      <c r="F48" s="14" t="inlineStr">
        <is>
          <t>200100006165</t>
        </is>
      </c>
      <c r="G48" s="15" t="n">
        <v>110</v>
      </c>
      <c r="H48" s="15" t="n">
        <v>61</v>
      </c>
      <c r="I48" s="16" t="n">
        <v>5</v>
      </c>
      <c r="J48" s="17" t="inlineStr">
        <is>
          <t>Floral</t>
        </is>
      </c>
      <c r="K48" s="17" t="inlineStr">
        <is>
          <t>Bergamot, Pear, Pink Pepper</t>
        </is>
      </c>
      <c r="L48" s="17" t="inlineStr">
        <is>
          <t>Rose, Jasmine</t>
        </is>
      </c>
      <c r="M48" s="17" t="inlineStr">
        <is>
          <t>White Musk, Vanilla, Patchouli</t>
        </is>
      </c>
      <c r="N48" s="17" t="inlineStr">
        <is>
          <t>Feminine</t>
        </is>
      </c>
      <c r="O48" s="17" t="inlineStr">
        <is>
          <t>Opens with bergamot, pear and pink pepper, moves through rose and jasmine, settles into white musk and vanilla. Romantic and airy, blooming outward as it wears. A confident one-bottle-does-it-all pick, concentrated enough to carry into the evening.</t>
        </is>
      </c>
    </row>
    <row r="49" ht="15" customHeight="1" s="11">
      <c r="A49" s="14" t="inlineStr">
        <is>
          <t>Prada</t>
        </is>
      </c>
      <c r="B49" s="14" t="inlineStr">
        <is>
          <t>Paradoxe</t>
        </is>
      </c>
      <c r="C49" s="14" t="inlineStr">
        <is>
          <t>EDP</t>
        </is>
      </c>
      <c r="D49" s="14" t="inlineStr">
        <is>
          <t>90ml</t>
        </is>
      </c>
      <c r="E49" s="14">
        <f>IF(AND(A49&lt;&gt;"",B49&lt;&gt;"",D49&lt;&gt;""),UPPER(SUBSTITUTE(A49," ","-"))&amp;"-"&amp;UPPER(SUBSTITUTE(B49," ","-"))&amp;"-"&amp;UPPER(SUBSTITUTE(D49," ","-")),"")</f>
        <v/>
      </c>
      <c r="F49" s="14" t="inlineStr">
        <is>
          <t>200100006302</t>
        </is>
      </c>
      <c r="G49" s="15" t="n">
        <v>120</v>
      </c>
      <c r="H49" s="15" t="n">
        <v>66</v>
      </c>
      <c r="I49" s="16" t="n">
        <v>14</v>
      </c>
      <c r="J49" s="17" t="inlineStr">
        <is>
          <t>Floral</t>
        </is>
      </c>
      <c r="K49" s="17" t="inlineStr">
        <is>
          <t>Neroli, Bergamot</t>
        </is>
      </c>
      <c r="L49" s="17" t="inlineStr">
        <is>
          <t>Jasmine, Amber</t>
        </is>
      </c>
      <c r="M49" s="17" t="inlineStr">
        <is>
          <t>Musk, Vanilla</t>
        </is>
      </c>
      <c r="N49" s="17" t="inlineStr">
        <is>
          <t>Feminine</t>
        </is>
      </c>
      <c r="O49" s="17" t="inlineStr">
        <is>
          <t>Opens with neroli and bergamot, moves through jasmine and amber, settles into musk and vanilla. Soft-petaled and radiant, built around a true floral heart. A versatile, everyday signature, concentrated enough to carry into the evening.</t>
        </is>
      </c>
    </row>
    <row r="50" ht="15" customHeight="1" s="11">
      <c r="A50" s="14" t="inlineStr">
        <is>
          <t>Burberry</t>
        </is>
      </c>
      <c r="B50" s="14" t="inlineStr">
        <is>
          <t>Her</t>
        </is>
      </c>
      <c r="C50" s="14" t="inlineStr">
        <is>
          <t>EDP</t>
        </is>
      </c>
      <c r="D50" s="14" t="inlineStr">
        <is>
          <t>100ml</t>
        </is>
      </c>
      <c r="E50" s="14">
        <f>IF(AND(A50&lt;&gt;"",B50&lt;&gt;"",D50&lt;&gt;""),UPPER(SUBSTITUTE(A50," ","-"))&amp;"-"&amp;UPPER(SUBSTITUTE(B50," ","-"))&amp;"-"&amp;UPPER(SUBSTITUTE(D50," ","-")),"")</f>
        <v/>
      </c>
      <c r="F50" s="14" t="inlineStr">
        <is>
          <t>200100006439</t>
        </is>
      </c>
      <c r="G50" s="15" t="n">
        <v>120</v>
      </c>
      <c r="H50" s="15" t="n">
        <v>66</v>
      </c>
      <c r="I50" s="16" t="n">
        <v>7</v>
      </c>
      <c r="J50" s="17" t="inlineStr">
        <is>
          <t>Gourmand</t>
        </is>
      </c>
      <c r="K50" s="17" t="inlineStr">
        <is>
          <t>Blackcurrant, Raspberry, Blackberry</t>
        </is>
      </c>
      <c r="L50" s="17" t="inlineStr">
        <is>
          <t>Jasmine, Violet</t>
        </is>
      </c>
      <c r="M50" s="17" t="inlineStr">
        <is>
          <t>Musk, Amber, Vanilla</t>
        </is>
      </c>
      <c r="N50" s="17" t="inlineStr">
        <is>
          <t>Feminine</t>
        </is>
      </c>
      <c r="O50" s="17" t="inlineStr">
        <is>
          <t>Opens with blackcurrant, raspberry and blackberry, moves through jasmine and violet, settles into musk and amber. Indulgent and cozy, built around real sweetness. A confident one-bottle-does-it-all pick, concentrated enough to carry into the evening.</t>
        </is>
      </c>
    </row>
    <row r="51" ht="15" customHeight="1" s="11">
      <c r="A51" s="14" t="inlineStr">
        <is>
          <t>Gucci</t>
        </is>
      </c>
      <c r="B51" s="14" t="inlineStr">
        <is>
          <t>Bloom</t>
        </is>
      </c>
      <c r="C51" s="14" t="inlineStr">
        <is>
          <t>EDP</t>
        </is>
      </c>
      <c r="D51" s="14" t="inlineStr">
        <is>
          <t>100ml</t>
        </is>
      </c>
      <c r="E51" s="14">
        <f>IF(AND(A51&lt;&gt;"",B51&lt;&gt;"",D51&lt;&gt;""),UPPER(SUBSTITUTE(A51," ","-"))&amp;"-"&amp;UPPER(SUBSTITUTE(B51," ","-"))&amp;"-"&amp;UPPER(SUBSTITUTE(D51," ","-")),"")</f>
        <v/>
      </c>
      <c r="F51" s="14" t="inlineStr">
        <is>
          <t>200100006576</t>
        </is>
      </c>
      <c r="G51" s="15" t="n">
        <v>125</v>
      </c>
      <c r="H51" s="15" t="n">
        <v>69</v>
      </c>
      <c r="I51" s="16" t="n">
        <v>3</v>
      </c>
      <c r="J51" s="17" t="inlineStr">
        <is>
          <t>Floral</t>
        </is>
      </c>
      <c r="K51" s="17" t="inlineStr">
        <is>
          <t>Jasmine, Tuberose</t>
        </is>
      </c>
      <c r="L51" s="17" t="inlineStr">
        <is>
          <t>Rangoon Creeper, Orange Blossom</t>
        </is>
      </c>
      <c r="M51" s="17" t="inlineStr">
        <is>
          <t>Sandalwood, Musk</t>
        </is>
      </c>
      <c r="N51" s="17" t="inlineStr">
        <is>
          <t>Feminine</t>
        </is>
      </c>
      <c r="O51" s="17" t="inlineStr">
        <is>
          <t>Opens with jasmine and tuberose, moves through rangoon creeper and orange blossom, settles into sandalwood and musk. Soft-petaled and radiant, built around a true floral heart. A versatile, everyday signature, concentrated enough to carry into the evening.</t>
        </is>
      </c>
    </row>
    <row r="52" ht="15" customHeight="1" s="11">
      <c r="A52" s="14" t="inlineStr">
        <is>
          <t>Gucci</t>
        </is>
      </c>
      <c r="B52" s="14" t="inlineStr">
        <is>
          <t>Flora Gorgeous Gardenia</t>
        </is>
      </c>
      <c r="C52" s="14" t="inlineStr">
        <is>
          <t>EDP</t>
        </is>
      </c>
      <c r="D52" s="14" t="inlineStr">
        <is>
          <t>100ml</t>
        </is>
      </c>
      <c r="E52" s="14">
        <f>IF(AND(A52&lt;&gt;"",B52&lt;&gt;"",D52&lt;&gt;""),UPPER(SUBSTITUTE(A52," ","-"))&amp;"-"&amp;UPPER(SUBSTITUTE(B52," ","-"))&amp;"-"&amp;UPPER(SUBSTITUTE(D52," ","-")),"")</f>
        <v/>
      </c>
      <c r="F52" s="14" t="inlineStr">
        <is>
          <t>200100006713</t>
        </is>
      </c>
      <c r="G52" s="15" t="n">
        <v>130</v>
      </c>
      <c r="H52" s="15" t="n">
        <v>72</v>
      </c>
      <c r="I52" s="16" t="n">
        <v>3</v>
      </c>
      <c r="J52" s="17" t="inlineStr">
        <is>
          <t>Floral</t>
        </is>
      </c>
      <c r="K52" s="17" t="inlineStr">
        <is>
          <t>Pear, Red Berries</t>
        </is>
      </c>
      <c r="L52" s="17" t="inlineStr">
        <is>
          <t>Gardenia, Frangipani</t>
        </is>
      </c>
      <c r="M52" s="17" t="inlineStr">
        <is>
          <t>Brown Sugar, Patchouli</t>
        </is>
      </c>
      <c r="N52" s="17" t="inlineStr">
        <is>
          <t>Feminine</t>
        </is>
      </c>
      <c r="O52" s="17" t="inlineStr">
        <is>
          <t>Opens with pear and red berries, moves through gardenia and frangipani, settles into brown sugar and patchouli. Soft-petaled and radiant, built around a true floral heart. A versatile, everyday signature, concentrated enough to carry into the evening.</t>
        </is>
      </c>
    </row>
    <row r="53" ht="15" customHeight="1" s="11">
      <c r="A53" s="14" t="inlineStr">
        <is>
          <t>Jean Paul Gaultier</t>
        </is>
      </c>
      <c r="B53" s="14" t="inlineStr">
        <is>
          <t>Scandal</t>
        </is>
      </c>
      <c r="C53" s="14" t="inlineStr">
        <is>
          <t>EDP</t>
        </is>
      </c>
      <c r="D53" s="14" t="inlineStr">
        <is>
          <t>80ml</t>
        </is>
      </c>
      <c r="E53" s="14">
        <f>IF(AND(A53&lt;&gt;"",B53&lt;&gt;"",D53&lt;&gt;""),UPPER(SUBSTITUTE(A53," ","-"))&amp;"-"&amp;UPPER(SUBSTITUTE(B53," ","-"))&amp;"-"&amp;UPPER(SUBSTITUTE(D53," ","-")),"")</f>
        <v/>
      </c>
      <c r="F53" s="14" t="inlineStr">
        <is>
          <t>200100006850</t>
        </is>
      </c>
      <c r="G53" s="15" t="n">
        <v>105</v>
      </c>
      <c r="H53" s="15" t="n">
        <v>58</v>
      </c>
      <c r="I53" s="16" t="n">
        <v>8</v>
      </c>
      <c r="J53" s="17" t="inlineStr">
        <is>
          <t>Gourmand</t>
        </is>
      </c>
      <c r="K53" s="17" t="inlineStr">
        <is>
          <t>Blood Orange, Mandarin</t>
        </is>
      </c>
      <c r="L53" s="17" t="inlineStr">
        <is>
          <t>Honey, Gardenia, Jasmine</t>
        </is>
      </c>
      <c r="M53" s="17" t="inlineStr">
        <is>
          <t>Patchouli, Beeswax, Caramel</t>
        </is>
      </c>
      <c r="N53" s="17" t="inlineStr">
        <is>
          <t>Feminine</t>
        </is>
      </c>
      <c r="O53" s="17" t="inlineStr">
        <is>
          <t>Opens with blood orange and mandarin, moves through honey and gardenia, settles into patchouli and beeswax. Warm and comforting, like something baked. An easy, wear-anywhere choice, concentrated enough to carry into the evening.</t>
        </is>
      </c>
    </row>
    <row r="54" ht="15" customHeight="1" s="11">
      <c r="A54" s="14" t="inlineStr">
        <is>
          <t>Narciso Rodriguez</t>
        </is>
      </c>
      <c r="B54" s="14" t="inlineStr">
        <is>
          <t>For Her</t>
        </is>
      </c>
      <c r="C54" s="14" t="inlineStr">
        <is>
          <t>EDP</t>
        </is>
      </c>
      <c r="D54" s="14" t="inlineStr">
        <is>
          <t>100ml</t>
        </is>
      </c>
      <c r="E54" s="14">
        <f>IF(AND(A54&lt;&gt;"",B54&lt;&gt;"",D54&lt;&gt;""),UPPER(SUBSTITUTE(A54," ","-"))&amp;"-"&amp;UPPER(SUBSTITUTE(B54," ","-"))&amp;"-"&amp;UPPER(SUBSTITUTE(D54," ","-")),"")</f>
        <v/>
      </c>
      <c r="F54" s="14" t="inlineStr">
        <is>
          <t>200100006987</t>
        </is>
      </c>
      <c r="G54" s="15" t="n">
        <v>120</v>
      </c>
      <c r="H54" s="15" t="n">
        <v>66</v>
      </c>
      <c r="I54" s="16" t="n">
        <v>3</v>
      </c>
      <c r="J54" s="17" t="inlineStr">
        <is>
          <t>Chypre</t>
        </is>
      </c>
      <c r="K54" s="17" t="inlineStr">
        <is>
          <t>Osmanthus, African Orange Flower</t>
        </is>
      </c>
      <c r="L54" s="17" t="inlineStr">
        <is>
          <t>Musk, Amber</t>
        </is>
      </c>
      <c r="M54" s="17" t="inlineStr">
        <is>
          <t>Vanilla, Patchouli, Vetiver</t>
        </is>
      </c>
      <c r="N54" s="17" t="inlineStr">
        <is>
          <t>Feminine</t>
        </is>
      </c>
      <c r="O54" s="17" t="inlineStr">
        <is>
          <t>Opens with osmanthus and african orange flower, moves through musk and amber, settles into vanilla and patchouli. Structured and sophisticated, rewards a second sniff. A confident one-bottle-does-it-all pick, concentrated enough to carry into the evening.</t>
        </is>
      </c>
    </row>
    <row r="55" ht="15" customHeight="1" s="11">
      <c r="A55" s="14" t="inlineStr">
        <is>
          <t>Chloé</t>
        </is>
      </c>
      <c r="B55" s="14" t="inlineStr">
        <is>
          <t>Chloé</t>
        </is>
      </c>
      <c r="C55" s="14" t="inlineStr">
        <is>
          <t>EDP</t>
        </is>
      </c>
      <c r="D55" s="14" t="inlineStr">
        <is>
          <t>75ml</t>
        </is>
      </c>
      <c r="E55" s="14">
        <f>IF(AND(A55&lt;&gt;"",B55&lt;&gt;"",D55&lt;&gt;""),UPPER(SUBSTITUTE(A55," ","-"))&amp;"-"&amp;UPPER(SUBSTITUTE(B55," ","-"))&amp;"-"&amp;UPPER(SUBSTITUTE(D55," ","-")),"")</f>
        <v/>
      </c>
      <c r="F55" s="14" t="inlineStr">
        <is>
          <t>200100007124</t>
        </is>
      </c>
      <c r="G55" s="15" t="n">
        <v>110</v>
      </c>
      <c r="H55" s="15" t="n">
        <v>61</v>
      </c>
      <c r="I55" s="16" t="n">
        <v>7</v>
      </c>
      <c r="J55" s="17" t="inlineStr">
        <is>
          <t>Floral</t>
        </is>
      </c>
      <c r="K55" s="17" t="inlineStr">
        <is>
          <t>Peony, Freesia, Litchi</t>
        </is>
      </c>
      <c r="L55" s="17" t="inlineStr">
        <is>
          <t>Rose, Magnolia, Lily of the Valley</t>
        </is>
      </c>
      <c r="M55" s="17" t="inlineStr">
        <is>
          <t>Cedar, Amber, Honey</t>
        </is>
      </c>
      <c r="N55" s="17" t="inlineStr">
        <is>
          <t>Feminine</t>
        </is>
      </c>
      <c r="O55" s="17" t="inlineStr">
        <is>
          <t>Opens with peony, freesia and litchi, moves through rose and magnolia, settles into cedar and amber. Delicate but never quiet, a bouquet that lingers. An easy, wear-anywhere choice, concentrated enough to carry into the evening.</t>
        </is>
      </c>
    </row>
    <row r="56" ht="15" customHeight="1" s="11">
      <c r="A56" s="14" t="inlineStr">
        <is>
          <t>Ariana Grande</t>
        </is>
      </c>
      <c r="B56" s="14" t="inlineStr">
        <is>
          <t>Cloud</t>
        </is>
      </c>
      <c r="C56" s="14" t="inlineStr">
        <is>
          <t>EDP</t>
        </is>
      </c>
      <c r="D56" s="14" t="inlineStr">
        <is>
          <t>100ml</t>
        </is>
      </c>
      <c r="E56" s="14">
        <f>IF(AND(A56&lt;&gt;"",B56&lt;&gt;"",D56&lt;&gt;""),UPPER(SUBSTITUTE(A56," ","-"))&amp;"-"&amp;UPPER(SUBSTITUTE(B56," ","-"))&amp;"-"&amp;UPPER(SUBSTITUTE(D56," ","-")),"")</f>
        <v/>
      </c>
      <c r="F56" s="14" t="inlineStr">
        <is>
          <t>200100007261</t>
        </is>
      </c>
      <c r="G56" s="15" t="n">
        <v>65</v>
      </c>
      <c r="H56" s="15" t="n">
        <v>36</v>
      </c>
      <c r="I56" s="16" t="n">
        <v>7</v>
      </c>
      <c r="J56" s="17" t="inlineStr">
        <is>
          <t>Gourmand</t>
        </is>
      </c>
      <c r="K56" s="17" t="inlineStr">
        <is>
          <t>Lavender, Pear, Bergamot</t>
        </is>
      </c>
      <c r="L56" s="17" t="inlineStr">
        <is>
          <t>Whipped Cream, Praline, Coconut</t>
        </is>
      </c>
      <c r="M56" s="17" t="inlineStr">
        <is>
          <t>Musk, Woods</t>
        </is>
      </c>
      <c r="N56" s="17" t="inlineStr">
        <is>
          <t>Feminine</t>
        </is>
      </c>
      <c r="O56" s="17" t="inlineStr">
        <is>
          <t>Opens with lavender, pear and bergamot, moves through whipped cream and praline, settles into musk and woods. Indulgent and cozy, built around real sweetness. A confident one-bottle-does-it-all pick, concentrated enough to carry into the evening.</t>
        </is>
      </c>
    </row>
    <row r="57" ht="15" customHeight="1" s="11">
      <c r="A57" s="14" t="inlineStr">
        <is>
          <t>Kayali</t>
        </is>
      </c>
      <c r="B57" s="14" t="inlineStr">
        <is>
          <t>Vanilla 28</t>
        </is>
      </c>
      <c r="C57" s="14" t="inlineStr">
        <is>
          <t>EDP</t>
        </is>
      </c>
      <c r="D57" s="14" t="inlineStr">
        <is>
          <t>50ml</t>
        </is>
      </c>
      <c r="E57" s="14">
        <f>IF(AND(A57&lt;&gt;"",B57&lt;&gt;"",D57&lt;&gt;""),UPPER(SUBSTITUTE(A57," ","-"))&amp;"-"&amp;UPPER(SUBSTITUTE(B57," ","-"))&amp;"-"&amp;UPPER(SUBSTITUTE(D57," ","-")),"")</f>
        <v/>
      </c>
      <c r="F57" s="14" t="inlineStr">
        <is>
          <t>200100007398</t>
        </is>
      </c>
      <c r="G57" s="15" t="n">
        <v>118</v>
      </c>
      <c r="H57" s="15" t="n">
        <v>65</v>
      </c>
      <c r="I57" s="16" t="n">
        <v>11</v>
      </c>
      <c r="J57" s="17" t="inlineStr">
        <is>
          <t>Gourmand</t>
        </is>
      </c>
      <c r="K57" s="17" t="inlineStr">
        <is>
          <t>Brown Sugar</t>
        </is>
      </c>
      <c r="L57" s="17" t="inlineStr">
        <is>
          <t>Vanilla, Jasmine</t>
        </is>
      </c>
      <c r="M57" s="17" t="inlineStr">
        <is>
          <t>Musk, Tonka, Amber</t>
        </is>
      </c>
      <c r="N57" s="17" t="inlineStr">
        <is>
          <t>Feminine</t>
        </is>
      </c>
      <c r="O57" s="17" t="inlineStr">
        <is>
          <t>Opens with brown sugar, moves through vanilla and jasmine, settles into musk and tonka. Indulgent and cozy, built around real sweetness. A confident one-bottle-does-it-all pick, concentrated enough to carry into the evening.</t>
        </is>
      </c>
    </row>
    <row r="58" ht="15" customHeight="1" s="11">
      <c r="A58" s="14" t="inlineStr">
        <is>
          <t>Maison Francis Kurkdjian</t>
        </is>
      </c>
      <c r="B58" s="14" t="inlineStr">
        <is>
          <t>Baccarat Rouge 540</t>
        </is>
      </c>
      <c r="C58" s="14" t="inlineStr">
        <is>
          <t>EDP</t>
        </is>
      </c>
      <c r="D58" s="14" t="inlineStr">
        <is>
          <t>70ml</t>
        </is>
      </c>
      <c r="E58" s="14">
        <f>IF(AND(A58&lt;&gt;"",B58&lt;&gt;"",D58&lt;&gt;""),UPPER(SUBSTITUTE(A58," ","-"))&amp;"-"&amp;UPPER(SUBSTITUTE(B58," ","-"))&amp;"-"&amp;UPPER(SUBSTITUTE(D58," ","-")),"")</f>
        <v/>
      </c>
      <c r="F58" s="14" t="inlineStr">
        <is>
          <t>200100007535</t>
        </is>
      </c>
      <c r="G58" s="15" t="n">
        <v>325</v>
      </c>
      <c r="H58" s="15" t="n">
        <v>179</v>
      </c>
      <c r="I58" s="16" t="n">
        <v>6</v>
      </c>
      <c r="J58" s="17" t="inlineStr">
        <is>
          <t>Amber/Oriental</t>
        </is>
      </c>
      <c r="K58" s="17" t="inlineStr">
        <is>
          <t>Saffron, Jasmine</t>
        </is>
      </c>
      <c r="L58" s="17" t="inlineStr">
        <is>
          <t>Amberwood, Ambergris</t>
        </is>
      </c>
      <c r="M58" s="17" t="inlineStr">
        <is>
          <t>Fir Resin, Cedar</t>
        </is>
      </c>
      <c r="N58" s="17" t="inlineStr">
        <is>
          <t>Unisex</t>
        </is>
      </c>
      <c r="O58" s="17" t="inlineStr">
        <is>
          <t>Opens with saffron and jasmine, moves through amberwood and ambergris, settles into fir resin and cedar. Rich and enveloping, built for cooler nights. Genuinely unisex, no gendered marketing required, concentrated enough to carry into the evening.</t>
        </is>
      </c>
    </row>
    <row r="59" ht="15" customHeight="1" s="11">
      <c r="A59" s="14" t="inlineStr">
        <is>
          <t>Le Labo</t>
        </is>
      </c>
      <c r="B59" s="14" t="inlineStr">
        <is>
          <t>Santal 33</t>
        </is>
      </c>
      <c r="C59" s="14" t="inlineStr">
        <is>
          <t>EDP</t>
        </is>
      </c>
      <c r="D59" s="14" t="inlineStr">
        <is>
          <t>50ml</t>
        </is>
      </c>
      <c r="E59" s="14">
        <f>IF(AND(A59&lt;&gt;"",B59&lt;&gt;"",D59&lt;&gt;""),UPPER(SUBSTITUTE(A59," ","-"))&amp;"-"&amp;UPPER(SUBSTITUTE(B59," ","-"))&amp;"-"&amp;UPPER(SUBSTITUTE(D59," ","-")),"")</f>
        <v/>
      </c>
      <c r="F59" s="14" t="inlineStr">
        <is>
          <t>200100007672</t>
        </is>
      </c>
      <c r="G59" s="15" t="n">
        <v>220</v>
      </c>
      <c r="H59" s="15" t="n">
        <v>121</v>
      </c>
      <c r="I59" s="16" t="n">
        <v>14</v>
      </c>
      <c r="J59" s="17" t="inlineStr">
        <is>
          <t>Woody</t>
        </is>
      </c>
      <c r="K59" s="17" t="inlineStr">
        <is>
          <t>Cardamom, Iris, Violet</t>
        </is>
      </c>
      <c r="L59" s="17" t="inlineStr">
        <is>
          <t>Ambrox, Sandalwood</t>
        </is>
      </c>
      <c r="M59" s="17" t="inlineStr">
        <is>
          <t>Leather, Cedar, Papyrus</t>
        </is>
      </c>
      <c r="N59" s="17" t="inlineStr">
        <is>
          <t>Unisex</t>
        </is>
      </c>
      <c r="O59" s="17" t="inlineStr">
        <is>
          <t>Opens with cardamom, iris and violet, moves through ambrox and sandalwood, settles into leather and cedar. Dry and textured, more sweater than cologne. Flexible enough for any wardrobe, concentrated enough to carry into the evening.</t>
        </is>
      </c>
    </row>
    <row r="60" ht="15" customHeight="1" s="11">
      <c r="A60" s="14" t="inlineStr">
        <is>
          <t>Byredo</t>
        </is>
      </c>
      <c r="B60" s="14" t="inlineStr">
        <is>
          <t>Gypsy Water</t>
        </is>
      </c>
      <c r="C60" s="14" t="inlineStr">
        <is>
          <t>EDP</t>
        </is>
      </c>
      <c r="D60" s="14" t="inlineStr">
        <is>
          <t>100ml</t>
        </is>
      </c>
      <c r="E60" s="14">
        <f>IF(AND(A60&lt;&gt;"",B60&lt;&gt;"",D60&lt;&gt;""),UPPER(SUBSTITUTE(A60," ","-"))&amp;"-"&amp;UPPER(SUBSTITUTE(B60," ","-"))&amp;"-"&amp;UPPER(SUBSTITUTE(D60," ","-")),"")</f>
        <v/>
      </c>
      <c r="F60" s="14" t="inlineStr">
        <is>
          <t>200100007809</t>
        </is>
      </c>
      <c r="G60" s="15" t="n">
        <v>196</v>
      </c>
      <c r="H60" s="15" t="n">
        <v>108</v>
      </c>
      <c r="I60" s="16" t="n">
        <v>2</v>
      </c>
      <c r="J60" s="17" t="inlineStr">
        <is>
          <t>Woody</t>
        </is>
      </c>
      <c r="K60" s="17" t="inlineStr">
        <is>
          <t>Bergamot, Lemon, Pepper, Juniper</t>
        </is>
      </c>
      <c r="L60" s="17" t="inlineStr">
        <is>
          <t>Incense, Pine Needles, Orris</t>
        </is>
      </c>
      <c r="M60" s="17" t="inlineStr">
        <is>
          <t>Amber, Vanilla, Sandalwood</t>
        </is>
      </c>
      <c r="N60" s="17" t="inlineStr">
        <is>
          <t>Unisex</t>
        </is>
      </c>
      <c r="O60" s="17" t="inlineStr">
        <is>
          <t>Opens with bergamot, lemon and pepper, moves through incense and pine needles, settles into amber and vanilla. Dry and textured, more sweater than cologne. Flexible enough for any wardrobe, concentrated enough to carry into the evening.</t>
        </is>
      </c>
    </row>
    <row r="61" ht="15" customHeight="1" s="11">
      <c r="A61" s="14" t="inlineStr">
        <is>
          <t>Jo Malone</t>
        </is>
      </c>
      <c r="B61" s="14" t="inlineStr">
        <is>
          <t>Wood Sage &amp; Sea Salt</t>
        </is>
      </c>
      <c r="C61" s="14" t="inlineStr">
        <is>
          <t>Cologne</t>
        </is>
      </c>
      <c r="D61" s="14" t="inlineStr">
        <is>
          <t>100ml</t>
        </is>
      </c>
      <c r="E61" s="14">
        <f>IF(AND(A61&lt;&gt;"",B61&lt;&gt;"",D61&lt;&gt;""),UPPER(SUBSTITUTE(A61," ","-"))&amp;"-"&amp;UPPER(SUBSTITUTE(B61," ","-"))&amp;"-"&amp;UPPER(SUBSTITUTE(D61," ","-")),"")</f>
        <v/>
      </c>
      <c r="F61" s="14" t="inlineStr">
        <is>
          <t>200100007946</t>
        </is>
      </c>
      <c r="G61" s="15" t="n">
        <v>150</v>
      </c>
      <c r="H61" s="15" t="n">
        <v>82</v>
      </c>
      <c r="I61" s="16" t="n">
        <v>13</v>
      </c>
      <c r="J61" s="17" t="inlineStr">
        <is>
          <t>Fresh/Aquatic</t>
        </is>
      </c>
      <c r="K61" s="17" t="inlineStr">
        <is>
          <t>Ambrette Seeds</t>
        </is>
      </c>
      <c r="L61" s="17" t="inlineStr">
        <is>
          <t>Sea Salt</t>
        </is>
      </c>
      <c r="M61" s="17" t="inlineStr">
        <is>
          <t>Sage, Driftwood</t>
        </is>
      </c>
      <c r="N61" s="17" t="inlineStr">
        <is>
          <t>Unisex</t>
        </is>
      </c>
      <c r="O61" s="17" t="inlineStr">
        <is>
          <t>Opens with ambrette seeds, moves through sea salt, settles into sage and driftwood. Airy and transparent, built to feel weightless. Flexible enough for any wardrobe, a lighter, splashier cut, best refreshed through the day.</t>
        </is>
      </c>
    </row>
    <row r="62" ht="15" customHeight="1" s="11">
      <c r="A62" s="14" t="inlineStr">
        <is>
          <t>Jo Malone</t>
        </is>
      </c>
      <c r="B62" s="14" t="inlineStr">
        <is>
          <t>English Pear &amp; Freesia</t>
        </is>
      </c>
      <c r="C62" s="14" t="inlineStr">
        <is>
          <t>Cologne</t>
        </is>
      </c>
      <c r="D62" s="14" t="inlineStr">
        <is>
          <t>100ml</t>
        </is>
      </c>
      <c r="E62" s="14">
        <f>IF(AND(A62&lt;&gt;"",B62&lt;&gt;"",D62&lt;&gt;""),UPPER(SUBSTITUTE(A62," ","-"))&amp;"-"&amp;UPPER(SUBSTITUTE(B62," ","-"))&amp;"-"&amp;UPPER(SUBSTITUTE(D62," ","-")),"")</f>
        <v/>
      </c>
      <c r="F62" s="14" t="inlineStr">
        <is>
          <t>200100008083</t>
        </is>
      </c>
      <c r="G62" s="15" t="n">
        <v>150</v>
      </c>
      <c r="H62" s="15" t="n">
        <v>82</v>
      </c>
      <c r="I62" s="16" t="n">
        <v>9</v>
      </c>
      <c r="J62" s="17" t="inlineStr">
        <is>
          <t>Floral</t>
        </is>
      </c>
      <c r="K62" s="17" t="inlineStr">
        <is>
          <t>Pear, Melon</t>
        </is>
      </c>
      <c r="L62" s="17" t="inlineStr">
        <is>
          <t>Freesia, Rose</t>
        </is>
      </c>
      <c r="M62" s="17" t="inlineStr">
        <is>
          <t>Patchouli, Musk, Amber</t>
        </is>
      </c>
      <c r="N62" s="17" t="inlineStr">
        <is>
          <t>Unisex</t>
        </is>
      </c>
      <c r="O62" s="17" t="inlineStr">
        <is>
          <t>Opens with pear and melon, moves through freesia and rose, settles into patchouli and musk. Soft-petaled and radiant, built around a true floral heart. Built to wear well on anyone, a lighter, splashier cut, best refreshed through the day.</t>
        </is>
      </c>
    </row>
    <row r="63" ht="15" customHeight="1" s="11">
      <c r="A63" s="14" t="inlineStr">
        <is>
          <t>Maison Margiela</t>
        </is>
      </c>
      <c r="B63" s="14" t="inlineStr">
        <is>
          <t>Replica Jazz Club</t>
        </is>
      </c>
      <c r="C63" s="14" t="inlineStr">
        <is>
          <t>EDT</t>
        </is>
      </c>
      <c r="D63" s="14" t="inlineStr">
        <is>
          <t>100ml</t>
        </is>
      </c>
      <c r="E63" s="14">
        <f>IF(AND(A63&lt;&gt;"",B63&lt;&gt;"",D63&lt;&gt;""),UPPER(SUBSTITUTE(A63," ","-"))&amp;"-"&amp;UPPER(SUBSTITUTE(B63," ","-"))&amp;"-"&amp;UPPER(SUBSTITUTE(D63," ","-")),"")</f>
        <v/>
      </c>
      <c r="F63" s="14" t="inlineStr">
        <is>
          <t>200100008220</t>
        </is>
      </c>
      <c r="G63" s="15" t="n">
        <v>150</v>
      </c>
      <c r="H63" s="15" t="n">
        <v>82</v>
      </c>
      <c r="I63" s="16" t="n">
        <v>10</v>
      </c>
      <c r="J63" s="17" t="inlineStr">
        <is>
          <t>Amber/Oriental</t>
        </is>
      </c>
      <c r="K63" s="17" t="inlineStr">
        <is>
          <t>Pink Pepper, Neroli, Lemon</t>
        </is>
      </c>
      <c r="L63" s="17" t="inlineStr">
        <is>
          <t>Rum, Clary Sage, Vetiver</t>
        </is>
      </c>
      <c r="M63" s="17" t="inlineStr">
        <is>
          <t>Tobacco, Vanilla, Styrax</t>
        </is>
      </c>
      <c r="N63" s="17" t="inlineStr">
        <is>
          <t>Unisex</t>
        </is>
      </c>
      <c r="O63" s="17" t="inlineStr">
        <is>
          <t>Opens with pink pepper, neroli and lemon, moves through rum and clary sage, settles into tobacco and vanilla. Warm and resinous, glowing rather than shouting. Built to wear well on anyone, light enough for daytime, with a few hours of wear.</t>
        </is>
      </c>
    </row>
    <row r="64" ht="15" customHeight="1" s="11">
      <c r="A64" s="14" t="inlineStr">
        <is>
          <t>Maison Margiela</t>
        </is>
      </c>
      <c r="B64" s="14" t="inlineStr">
        <is>
          <t>Replica By the Fireplace</t>
        </is>
      </c>
      <c r="C64" s="14" t="inlineStr">
        <is>
          <t>EDT</t>
        </is>
      </c>
      <c r="D64" s="14" t="inlineStr">
        <is>
          <t>100ml</t>
        </is>
      </c>
      <c r="E64" s="14">
        <f>IF(AND(A64&lt;&gt;"",B64&lt;&gt;"",D64&lt;&gt;""),UPPER(SUBSTITUTE(A64," ","-"))&amp;"-"&amp;UPPER(SUBSTITUTE(B64," ","-"))&amp;"-"&amp;UPPER(SUBSTITUTE(D64," ","-")),"")</f>
        <v/>
      </c>
      <c r="F64" s="14" t="inlineStr">
        <is>
          <t>200100008357</t>
        </is>
      </c>
      <c r="G64" s="15" t="n">
        <v>150</v>
      </c>
      <c r="H64" s="15" t="n">
        <v>82</v>
      </c>
      <c r="I64" s="16" t="n">
        <v>3</v>
      </c>
      <c r="J64" s="17" t="inlineStr">
        <is>
          <t>Gourmand</t>
        </is>
      </c>
      <c r="K64" s="17" t="inlineStr">
        <is>
          <t>Clove, Pink Pepper, Orange</t>
        </is>
      </c>
      <c r="L64" s="17" t="inlineStr">
        <is>
          <t>Chestnut, Guaiac Wood</t>
        </is>
      </c>
      <c r="M64" s="17" t="inlineStr">
        <is>
          <t>Vanilla, Cashmeran, Peru Balsam</t>
        </is>
      </c>
      <c r="N64" s="17" t="inlineStr">
        <is>
          <t>Unisex</t>
        </is>
      </c>
      <c r="O64" s="17" t="inlineStr">
        <is>
          <t>Opens with clove, pink pepper and orange, moves through chestnut and guaiac wood, settles into vanilla and cashmeran. Indulgent and cozy, built around real sweetness. Flexible enough for any wardrobe, light enough for daytime, with a few hours of wear.</t>
        </is>
      </c>
    </row>
    <row r="65" ht="15" customHeight="1" s="11">
      <c r="A65" s="14" t="inlineStr">
        <is>
          <t>Creed</t>
        </is>
      </c>
      <c r="B65" s="14" t="inlineStr">
        <is>
          <t>Green Irish Tweed</t>
        </is>
      </c>
      <c r="C65" s="14" t="inlineStr">
        <is>
          <t>EDP</t>
        </is>
      </c>
      <c r="D65" s="14" t="inlineStr">
        <is>
          <t>100ml</t>
        </is>
      </c>
      <c r="E65" s="14">
        <f>IF(AND(A65&lt;&gt;"",B65&lt;&gt;"",D65&lt;&gt;""),UPPER(SUBSTITUTE(A65," ","-"))&amp;"-"&amp;UPPER(SUBSTITUTE(B65," ","-"))&amp;"-"&amp;UPPER(SUBSTITUTE(D65," ","-")),"")</f>
        <v/>
      </c>
      <c r="F65" s="14" t="inlineStr">
        <is>
          <t>200100008494</t>
        </is>
      </c>
      <c r="G65" s="15" t="n">
        <v>395</v>
      </c>
      <c r="H65" s="15" t="n">
        <v>217</v>
      </c>
      <c r="I65" s="16" t="n">
        <v>8</v>
      </c>
      <c r="J65" s="17" t="inlineStr">
        <is>
          <t>Fougère</t>
        </is>
      </c>
      <c r="K65" s="17" t="inlineStr">
        <is>
          <t>Lemon, Verbena</t>
        </is>
      </c>
      <c r="L65" s="17" t="inlineStr">
        <is>
          <t>Violet Leaf, Iris</t>
        </is>
      </c>
      <c r="M65" s="17" t="inlineStr">
        <is>
          <t>Sandalwood, Ambergris</t>
        </is>
      </c>
      <c r="N65" s="17" t="inlineStr">
        <is>
          <t>Masculine</t>
        </is>
      </c>
      <c r="O65" s="17" t="inlineStr">
        <is>
          <t>Opens with lemon and verbena, moves through violet leaf and iris, settles into sandalwood and ambergris. Crisp and herbal with a soapy, clean-shaven finish. A confident one-bottle-does-it-all choice, concentrated enough to carry into the evening.</t>
        </is>
      </c>
    </row>
    <row r="66" ht="15" customHeight="1" s="11">
      <c r="A66" s="14" t="inlineStr">
        <is>
          <t>Creed</t>
        </is>
      </c>
      <c r="B66" s="14" t="inlineStr">
        <is>
          <t>Silver Mountain Water</t>
        </is>
      </c>
      <c r="C66" s="14" t="inlineStr">
        <is>
          <t>EDP</t>
        </is>
      </c>
      <c r="D66" s="14" t="inlineStr">
        <is>
          <t>100ml</t>
        </is>
      </c>
      <c r="E66" s="14">
        <f>IF(AND(A66&lt;&gt;"",B66&lt;&gt;"",D66&lt;&gt;""),UPPER(SUBSTITUTE(A66," ","-"))&amp;"-"&amp;UPPER(SUBSTITUTE(B66," ","-"))&amp;"-"&amp;UPPER(SUBSTITUTE(D66," ","-")),"")</f>
        <v/>
      </c>
      <c r="F66" s="14" t="inlineStr">
        <is>
          <t>200100008631</t>
        </is>
      </c>
      <c r="G66" s="15" t="n">
        <v>410</v>
      </c>
      <c r="H66" s="15" t="n">
        <v>226</v>
      </c>
      <c r="I66" s="16" t="n">
        <v>3</v>
      </c>
      <c r="J66" s="17" t="inlineStr">
        <is>
          <t>Fresh/Aquatic</t>
        </is>
      </c>
      <c r="K66" s="17" t="inlineStr">
        <is>
          <t>Bergamot, Mandarin</t>
        </is>
      </c>
      <c r="L66" s="17" t="inlineStr">
        <is>
          <t>Green Tea, Blackcurrant</t>
        </is>
      </c>
      <c r="M66" s="17" t="inlineStr">
        <is>
          <t>Musk, Sandalwood, Galbanum</t>
        </is>
      </c>
      <c r="N66" s="17" t="inlineStr">
        <is>
          <t>Unisex</t>
        </is>
      </c>
      <c r="O66" s="17" t="inlineStr">
        <is>
          <t>Opens with bergamot and mandarin, moves through green tea and blackcurrant, settles into musk and sandalwood. Clean and breezy, the fragrance equivalent of an open window. Genuinely unisex, no gendered marketing required, concentrated enough to carry into the evening.</t>
        </is>
      </c>
    </row>
    <row r="67" ht="15" customHeight="1" s="11">
      <c r="A67" s="14" t="inlineStr">
        <is>
          <t>Parfums de Marly</t>
        </is>
      </c>
      <c r="B67" s="14" t="inlineStr">
        <is>
          <t>Layton</t>
        </is>
      </c>
      <c r="C67" s="14" t="inlineStr">
        <is>
          <t>EDP</t>
        </is>
      </c>
      <c r="D67" s="14" t="inlineStr">
        <is>
          <t>125ml</t>
        </is>
      </c>
      <c r="E67" s="14">
        <f>IF(AND(A67&lt;&gt;"",B67&lt;&gt;"",D67&lt;&gt;""),UPPER(SUBSTITUTE(A67," ","-"))&amp;"-"&amp;UPPER(SUBSTITUTE(B67," ","-"))&amp;"-"&amp;UPPER(SUBSTITUTE(D67," ","-")),"")</f>
        <v/>
      </c>
      <c r="F67" s="14" t="inlineStr">
        <is>
          <t>200100008768</t>
        </is>
      </c>
      <c r="G67" s="15" t="n">
        <v>340</v>
      </c>
      <c r="H67" s="15" t="n">
        <v>187</v>
      </c>
      <c r="I67" s="16" t="n">
        <v>10</v>
      </c>
      <c r="J67" s="17" t="inlineStr">
        <is>
          <t>Amber/Oriental</t>
        </is>
      </c>
      <c r="K67" s="17" t="inlineStr">
        <is>
          <t>Apple, Bergamot, Lavender</t>
        </is>
      </c>
      <c r="L67" s="17" t="inlineStr">
        <is>
          <t>Geranium, Violet, Jasmine</t>
        </is>
      </c>
      <c r="M67" s="17" t="inlineStr">
        <is>
          <t>Vanilla, Sandalwood, Guaiac Wood, Pepper</t>
        </is>
      </c>
      <c r="N67" s="17" t="inlineStr">
        <is>
          <t>Masculine</t>
        </is>
      </c>
      <c r="O67" s="17" t="inlineStr">
        <is>
          <t>Opens with apple, bergamot and lavender, moves through geranium and violet, settles into vanilla and sandalwood. Rich and enveloping, built for cooler nights. An easy, no-fuss pick for daily wear, concentrated enough to carry into the evening.</t>
        </is>
      </c>
    </row>
    <row r="68" ht="15" customHeight="1" s="11">
      <c r="A68" s="14" t="inlineStr">
        <is>
          <t>Parfums de Marly</t>
        </is>
      </c>
      <c r="B68" s="14" t="inlineStr">
        <is>
          <t>Delina</t>
        </is>
      </c>
      <c r="C68" s="14" t="inlineStr">
        <is>
          <t>EDP</t>
        </is>
      </c>
      <c r="D68" s="14" t="inlineStr">
        <is>
          <t>75ml</t>
        </is>
      </c>
      <c r="E68" s="14">
        <f>IF(AND(A68&lt;&gt;"",B68&lt;&gt;"",D68&lt;&gt;""),UPPER(SUBSTITUTE(A68," ","-"))&amp;"-"&amp;UPPER(SUBSTITUTE(B68," ","-"))&amp;"-"&amp;UPPER(SUBSTITUTE(D68," ","-")),"")</f>
        <v/>
      </c>
      <c r="F68" s="14" t="inlineStr">
        <is>
          <t>200100008905</t>
        </is>
      </c>
      <c r="G68" s="15" t="n">
        <v>295</v>
      </c>
      <c r="H68" s="15" t="n">
        <v>162</v>
      </c>
      <c r="I68" s="16" t="n">
        <v>6</v>
      </c>
      <c r="J68" s="17" t="inlineStr">
        <is>
          <t>Floral</t>
        </is>
      </c>
      <c r="K68" s="17" t="inlineStr">
        <is>
          <t>Litchi, Rhubarb, Bergamot</t>
        </is>
      </c>
      <c r="L68" s="17" t="inlineStr">
        <is>
          <t>Turkish Rose, Peony, Lily of the Valley</t>
        </is>
      </c>
      <c r="M68" s="17" t="inlineStr">
        <is>
          <t>Vanilla, Musk, Cashmeran</t>
        </is>
      </c>
      <c r="N68" s="17" t="inlineStr">
        <is>
          <t>Feminine</t>
        </is>
      </c>
      <c r="O68" s="17" t="inlineStr">
        <is>
          <t>Opens with litchi, rhubarb and bergamot, moves through turkish rose and peony, settles into vanilla and musk. Romantic and airy, blooming outward as it wears. A confident one-bottle-does-it-all pick, concentrated enough to carry into the evening.</t>
        </is>
      </c>
    </row>
    <row r="69" ht="15" customHeight="1" s="11">
      <c r="A69" s="14" t="inlineStr">
        <is>
          <t>Initio</t>
        </is>
      </c>
      <c r="B69" s="14" t="inlineStr">
        <is>
          <t>Oud for Greatness</t>
        </is>
      </c>
      <c r="C69" s="14" t="inlineStr">
        <is>
          <t>EDP</t>
        </is>
      </c>
      <c r="D69" s="14" t="inlineStr">
        <is>
          <t>90ml</t>
        </is>
      </c>
      <c r="E69" s="14">
        <f>IF(AND(A69&lt;&gt;"",B69&lt;&gt;"",D69&lt;&gt;""),UPPER(SUBSTITUTE(A69," ","-"))&amp;"-"&amp;UPPER(SUBSTITUTE(B69," ","-"))&amp;"-"&amp;UPPER(SUBSTITUTE(D69," ","-")),"")</f>
        <v/>
      </c>
      <c r="F69" s="14" t="inlineStr">
        <is>
          <t>200100009042</t>
        </is>
      </c>
      <c r="G69" s="15" t="n">
        <v>360</v>
      </c>
      <c r="H69" s="15" t="n">
        <v>198</v>
      </c>
      <c r="I69" s="16" t="n">
        <v>12</v>
      </c>
      <c r="J69" s="17" t="inlineStr">
        <is>
          <t>Woody</t>
        </is>
      </c>
      <c r="K69" s="17" t="inlineStr">
        <is>
          <t>Saffron, Nutmeg</t>
        </is>
      </c>
      <c r="L69" s="17" t="inlineStr">
        <is>
          <t>Oud, Patchouli</t>
        </is>
      </c>
      <c r="M69" s="17" t="inlineStr">
        <is>
          <t>Musk, Sandalwood</t>
        </is>
      </c>
      <c r="N69" s="17" t="inlineStr">
        <is>
          <t>Unisex</t>
        </is>
      </c>
      <c r="O69" s="17" t="inlineStr">
        <is>
          <t>Opens with saffron and nutmeg, moves through oud and patchouli, settles into musk and sandalwood. Smooth and confident, fills a room quietly. Genuinely unisex, no gendered marketing required, concentrated enough to carry into the evening.</t>
        </is>
      </c>
    </row>
    <row r="70" ht="15" customHeight="1" s="11">
      <c r="A70" s="14" t="inlineStr">
        <is>
          <t>Xerjoff</t>
        </is>
      </c>
      <c r="B70" s="14" t="inlineStr">
        <is>
          <t>Naxos</t>
        </is>
      </c>
      <c r="C70" s="14" t="inlineStr">
        <is>
          <t>EDP</t>
        </is>
      </c>
      <c r="D70" s="14" t="inlineStr">
        <is>
          <t>100ml</t>
        </is>
      </c>
      <c r="E70" s="14">
        <f>IF(AND(A70&lt;&gt;"",B70&lt;&gt;"",D70&lt;&gt;""),UPPER(SUBSTITUTE(A70," ","-"))&amp;"-"&amp;UPPER(SUBSTITUTE(B70," ","-"))&amp;"-"&amp;UPPER(SUBSTITUTE(D70," ","-")),"")</f>
        <v/>
      </c>
      <c r="F70" s="14" t="inlineStr">
        <is>
          <t>200100009179</t>
        </is>
      </c>
      <c r="G70" s="15" t="n">
        <v>285</v>
      </c>
      <c r="H70" s="15" t="n">
        <v>157</v>
      </c>
      <c r="I70" s="16" t="n">
        <v>11</v>
      </c>
      <c r="J70" s="17" t="inlineStr">
        <is>
          <t>Amber/Oriental</t>
        </is>
      </c>
      <c r="K70" s="17" t="inlineStr">
        <is>
          <t>Bergamot, Lavender, Lemon</t>
        </is>
      </c>
      <c r="L70" s="17" t="inlineStr">
        <is>
          <t>Honey, Cinnamon, Tobacco</t>
        </is>
      </c>
      <c r="M70" s="17" t="inlineStr">
        <is>
          <t>Tonka, Vanilla, Cashmeran</t>
        </is>
      </c>
      <c r="N70" s="17" t="inlineStr">
        <is>
          <t>Masculine</t>
        </is>
      </c>
      <c r="O70" s="17" t="inlineStr">
        <is>
          <t>Opens with bergamot, lavender and lemon, moves through honey and cinnamon, settles into tonka and vanilla. Warm and resinous, glowing rather than shouting. A dependable, everyday men's signature, concentrated enough to carry into the evening.</t>
        </is>
      </c>
    </row>
    <row r="71" ht="15" customHeight="1" s="11">
      <c r="A71" s="14" t="inlineStr">
        <is>
          <t>Versace</t>
        </is>
      </c>
      <c r="B71" s="14" t="inlineStr">
        <is>
          <t>Eros Flame</t>
        </is>
      </c>
      <c r="C71" s="14" t="inlineStr">
        <is>
          <t>EDP</t>
        </is>
      </c>
      <c r="D71" s="14" t="inlineStr">
        <is>
          <t>100ml</t>
        </is>
      </c>
      <c r="E71" s="14">
        <f>IF(AND(A71&lt;&gt;"",B71&lt;&gt;"",D71&lt;&gt;""),UPPER(SUBSTITUTE(A71," ","-"))&amp;"-"&amp;UPPER(SUBSTITUTE(B71," ","-"))&amp;"-"&amp;UPPER(SUBSTITUTE(D71," ","-")),"")</f>
        <v/>
      </c>
      <c r="F71" s="14" t="inlineStr">
        <is>
          <t>200100009316</t>
        </is>
      </c>
      <c r="G71" s="15" t="n">
        <v>90</v>
      </c>
      <c r="H71" s="15" t="n">
        <v>50</v>
      </c>
      <c r="I71" s="16" t="n">
        <v>7</v>
      </c>
      <c r="J71" s="17" t="inlineStr">
        <is>
          <t>Amber/Oriental</t>
        </is>
      </c>
      <c r="K71" s="17" t="inlineStr">
        <is>
          <t>Black Pepper, Lemon, Mandarin</t>
        </is>
      </c>
      <c r="L71" s="17" t="inlineStr">
        <is>
          <t>Rose, Geranium, Pepperwood</t>
        </is>
      </c>
      <c r="M71" s="17" t="inlineStr">
        <is>
          <t>Tonka, Vanilla, Sandalwood, Cedar</t>
        </is>
      </c>
      <c r="N71" s="17" t="inlineStr">
        <is>
          <t>Masculine</t>
        </is>
      </c>
      <c r="O71" s="17" t="inlineStr">
        <is>
          <t>Opens with black pepper, lemon and mandarin, moves through rose and geranium, settles into tonka and vanilla. Spiced and sensual, the kind of scent people lean in for. A confident one-bottle-does-it-all choice, concentrated enough to carry into the evening.</t>
        </is>
      </c>
    </row>
    <row r="72" ht="15" customHeight="1" s="11">
      <c r="A72" s="14" t="inlineStr">
        <is>
          <t>Valentino</t>
        </is>
      </c>
      <c r="B72" s="14" t="inlineStr">
        <is>
          <t>Uomo Born in Roma</t>
        </is>
      </c>
      <c r="C72" s="14" t="inlineStr">
        <is>
          <t>EDT</t>
        </is>
      </c>
      <c r="D72" s="14" t="inlineStr">
        <is>
          <t>100ml</t>
        </is>
      </c>
      <c r="E72" s="14">
        <f>IF(AND(A72&lt;&gt;"",B72&lt;&gt;"",D72&lt;&gt;""),UPPER(SUBSTITUTE(A72," ","-"))&amp;"-"&amp;UPPER(SUBSTITUTE(B72," ","-"))&amp;"-"&amp;UPPER(SUBSTITUTE(D72," ","-")),"")</f>
        <v/>
      </c>
      <c r="F72" s="14" t="inlineStr">
        <is>
          <t>200100009453</t>
        </is>
      </c>
      <c r="G72" s="15" t="n">
        <v>95</v>
      </c>
      <c r="H72" s="15" t="n">
        <v>52</v>
      </c>
      <c r="I72" s="16" t="n">
        <v>11</v>
      </c>
      <c r="J72" s="17" t="inlineStr">
        <is>
          <t>Aromatic</t>
        </is>
      </c>
      <c r="K72" s="17" t="inlineStr">
        <is>
          <t>Ginger, Bergamot</t>
        </is>
      </c>
      <c r="L72" s="17" t="inlineStr">
        <is>
          <t>Sage, Violet Leaf</t>
        </is>
      </c>
      <c r="M72" s="17" t="inlineStr">
        <is>
          <t>Vetiver, Woods, Tonka</t>
        </is>
      </c>
      <c r="N72" s="17" t="inlineStr">
        <is>
          <t>Masculine</t>
        </is>
      </c>
      <c r="O72" s="17" t="inlineStr">
        <is>
          <t>Opens with ginger and bergamot, moves through sage and violet leaf, settles into vetiver and woods. Herbal and crisp, with a peppery, energetic edge. A dependable, everyday men's signature, light enough for daytime, with a few hours of wear.</t>
        </is>
      </c>
    </row>
    <row r="73" ht="15" customHeight="1" s="11">
      <c r="A73" s="14" t="inlineStr">
        <is>
          <t>Valentino</t>
        </is>
      </c>
      <c r="B73" s="14" t="inlineStr">
        <is>
          <t>Donna Born in Roma</t>
        </is>
      </c>
      <c r="C73" s="14" t="inlineStr">
        <is>
          <t>EDP</t>
        </is>
      </c>
      <c r="D73" s="14" t="inlineStr">
        <is>
          <t>100ml</t>
        </is>
      </c>
      <c r="E73" s="14">
        <f>IF(AND(A73&lt;&gt;"",B73&lt;&gt;"",D73&lt;&gt;""),UPPER(SUBSTITUTE(A73," ","-"))&amp;"-"&amp;UPPER(SUBSTITUTE(B73," ","-"))&amp;"-"&amp;UPPER(SUBSTITUTE(D73," ","-")),"")</f>
        <v/>
      </c>
      <c r="F73" s="14" t="inlineStr">
        <is>
          <t>200100009590</t>
        </is>
      </c>
      <c r="G73" s="15" t="n">
        <v>110</v>
      </c>
      <c r="H73" s="15" t="n">
        <v>61</v>
      </c>
      <c r="I73" s="16" t="n">
        <v>5</v>
      </c>
      <c r="J73" s="17" t="inlineStr">
        <is>
          <t>Floral</t>
        </is>
      </c>
      <c r="K73" s="17" t="inlineStr">
        <is>
          <t>Blackcurrant, Jasmine</t>
        </is>
      </c>
      <c r="L73" s="17" t="inlineStr">
        <is>
          <t>Jasmine, Bourbon Vanilla</t>
        </is>
      </c>
      <c r="M73" s="17" t="inlineStr">
        <is>
          <t>Woods, Musk</t>
        </is>
      </c>
      <c r="N73" s="17" t="inlineStr">
        <is>
          <t>Feminine</t>
        </is>
      </c>
      <c r="O73" s="17" t="inlineStr">
        <is>
          <t>Opens with blackcurrant and jasmine, moves through jasmine and bourbon vanilla, settles into woods and musk. Soft-petaled and radiant, built around a true floral heart. A versatile, everyday signature, concentrated enough to carry into the evening.</t>
        </is>
      </c>
    </row>
    <row r="74" ht="15" customHeight="1" s="11">
      <c r="A74" s="14" t="inlineStr">
        <is>
          <t>Givenchy</t>
        </is>
      </c>
      <c r="B74" s="14" t="inlineStr">
        <is>
          <t>Gentleman</t>
        </is>
      </c>
      <c r="C74" s="14" t="inlineStr">
        <is>
          <t>EDP</t>
        </is>
      </c>
      <c r="D74" s="14" t="inlineStr">
        <is>
          <t>100ml</t>
        </is>
      </c>
      <c r="E74" s="14">
        <f>IF(AND(A74&lt;&gt;"",B74&lt;&gt;"",D74&lt;&gt;""),UPPER(SUBSTITUTE(A74," ","-"))&amp;"-"&amp;UPPER(SUBSTITUTE(B74," ","-"))&amp;"-"&amp;UPPER(SUBSTITUTE(D74," ","-")),"")</f>
        <v/>
      </c>
      <c r="F74" s="14" t="inlineStr">
        <is>
          <t>200100009727</t>
        </is>
      </c>
      <c r="G74" s="15" t="n">
        <v>105</v>
      </c>
      <c r="H74" s="15" t="n">
        <v>58</v>
      </c>
      <c r="I74" s="16" t="n">
        <v>13</v>
      </c>
      <c r="J74" s="17" t="inlineStr">
        <is>
          <t>Amber/Oriental</t>
        </is>
      </c>
      <c r="K74" s="17" t="inlineStr">
        <is>
          <t>Pear, Cardamom, Iris</t>
        </is>
      </c>
      <c r="L74" s="17" t="inlineStr">
        <is>
          <t>Iris, Lavender</t>
        </is>
      </c>
      <c r="M74" s="17" t="inlineStr">
        <is>
          <t>Patchouli, Leather, Black Vanilla</t>
        </is>
      </c>
      <c r="N74" s="17" t="inlineStr">
        <is>
          <t>Masculine</t>
        </is>
      </c>
      <c r="O74" s="17" t="inlineStr">
        <is>
          <t>Opens with pear, cardamom and iris, moves through iris and lavender, settles into patchouli and leather. Rich and enveloping, built for cooler nights. An easy, no-fuss pick for daily wear, concentrated enough to carry into the evening.</t>
        </is>
      </c>
    </row>
    <row r="75" ht="15" customHeight="1" s="11">
      <c r="A75" s="14" t="inlineStr">
        <is>
          <t>Hugo Boss</t>
        </is>
      </c>
      <c r="B75" s="14" t="inlineStr">
        <is>
          <t>Boss Bottled</t>
        </is>
      </c>
      <c r="C75" s="14" t="inlineStr">
        <is>
          <t>EDT</t>
        </is>
      </c>
      <c r="D75" s="14" t="inlineStr">
        <is>
          <t>100ml</t>
        </is>
      </c>
      <c r="E75" s="14">
        <f>IF(AND(A75&lt;&gt;"",B75&lt;&gt;"",D75&lt;&gt;""),UPPER(SUBSTITUTE(A75," ","-"))&amp;"-"&amp;UPPER(SUBSTITUTE(B75," ","-"))&amp;"-"&amp;UPPER(SUBSTITUTE(D75," ","-")),"")</f>
        <v/>
      </c>
      <c r="F75" s="14" t="inlineStr">
        <is>
          <t>200100009864</t>
        </is>
      </c>
      <c r="G75" s="15" t="n">
        <v>90</v>
      </c>
      <c r="H75" s="15" t="n">
        <v>50</v>
      </c>
      <c r="I75" s="16" t="n">
        <v>3</v>
      </c>
      <c r="J75" s="17" t="inlineStr">
        <is>
          <t>Woody</t>
        </is>
      </c>
      <c r="K75" s="17" t="inlineStr">
        <is>
          <t>Apple, Bergamot, Lemon</t>
        </is>
      </c>
      <c r="L75" s="17" t="inlineStr">
        <is>
          <t>Cinnamon, Clove, Geranium</t>
        </is>
      </c>
      <c r="M75" s="17" t="inlineStr">
        <is>
          <t>Sandalwood, Vetiver, Vanilla</t>
        </is>
      </c>
      <c r="N75" s="17" t="inlineStr">
        <is>
          <t>Masculine</t>
        </is>
      </c>
      <c r="O75" s="17" t="inlineStr">
        <is>
          <t>Opens with apple, bergamot and lemon, moves through cinnamon and clove, settles into sandalwood and vetiver. Warm and grounded, built around a real wood backbone. A dependable, everyday men's signature, light enough for daytime, with a few hours of wear.</t>
        </is>
      </c>
    </row>
    <row r="76" ht="15" customHeight="1" s="11">
      <c r="A76" s="14" t="inlineStr">
        <is>
          <t>Hugo Boss</t>
        </is>
      </c>
      <c r="B76" s="14" t="inlineStr">
        <is>
          <t>Boss Bottled Parfum</t>
        </is>
      </c>
      <c r="C76" s="14" t="inlineStr">
        <is>
          <t>Parfum</t>
        </is>
      </c>
      <c r="D76" s="14" t="inlineStr">
        <is>
          <t>100ml</t>
        </is>
      </c>
      <c r="E76" s="14">
        <f>IF(AND(A76&lt;&gt;"",B76&lt;&gt;"",D76&lt;&gt;""),UPPER(SUBSTITUTE(A76," ","-"))&amp;"-"&amp;UPPER(SUBSTITUTE(B76," ","-"))&amp;"-"&amp;UPPER(SUBSTITUTE(D76," ","-")),"")</f>
        <v/>
      </c>
      <c r="F76" s="14" t="inlineStr">
        <is>
          <t>200100010001</t>
        </is>
      </c>
      <c r="G76" s="15" t="n">
        <v>110</v>
      </c>
      <c r="H76" s="15" t="n">
        <v>61</v>
      </c>
      <c r="I76" s="16" t="n">
        <v>2</v>
      </c>
      <c r="J76" s="17" t="inlineStr">
        <is>
          <t>Woody</t>
        </is>
      </c>
      <c r="K76" s="17" t="inlineStr">
        <is>
          <t>Fresh Notes</t>
        </is>
      </c>
      <c r="L76" s="17" t="inlineStr">
        <is>
          <t>Elemi, Ginger</t>
        </is>
      </c>
      <c r="M76" s="17" t="inlineStr">
        <is>
          <t>Cedar, Vanilla</t>
        </is>
      </c>
      <c r="N76" s="17" t="inlineStr">
        <is>
          <t>Masculine</t>
        </is>
      </c>
      <c r="O76" s="17" t="inlineStr">
        <is>
          <t>Opens with fresh notes, moves through elemi and ginger, settles into cedar and vanilla. Smooth and confident, fills a room quietly. An easy, no-fuss pick for daily wear, the most concentrated cut here, built to last all day.</t>
        </is>
      </c>
    </row>
    <row r="77" ht="15" customHeight="1" s="11">
      <c r="A77" s="14" t="inlineStr">
        <is>
          <t>Calvin Klein</t>
        </is>
      </c>
      <c r="B77" s="14" t="inlineStr">
        <is>
          <t>CK One</t>
        </is>
      </c>
      <c r="C77" s="14" t="inlineStr">
        <is>
          <t>Cologne</t>
        </is>
      </c>
      <c r="D77" s="14" t="inlineStr">
        <is>
          <t>100ml</t>
        </is>
      </c>
      <c r="E77" s="14">
        <f>IF(AND(A77&lt;&gt;"",B77&lt;&gt;"",D77&lt;&gt;""),UPPER(SUBSTITUTE(A77," ","-"))&amp;"-"&amp;UPPER(SUBSTITUTE(B77," ","-"))&amp;"-"&amp;UPPER(SUBSTITUTE(D77," ","-")),"")</f>
        <v/>
      </c>
      <c r="F77" s="14" t="inlineStr">
        <is>
          <t>200100010138</t>
        </is>
      </c>
      <c r="G77" s="15" t="n">
        <v>65</v>
      </c>
      <c r="H77" s="15" t="n">
        <v>36</v>
      </c>
      <c r="I77" s="16" t="n">
        <v>12</v>
      </c>
      <c r="J77" s="17" t="inlineStr">
        <is>
          <t>Citrus</t>
        </is>
      </c>
      <c r="K77" s="17" t="inlineStr">
        <is>
          <t>Lemon, Bergamot, Pineapple, Mandarin</t>
        </is>
      </c>
      <c r="L77" s="17" t="inlineStr">
        <is>
          <t>Nutmeg, Violet, Rose</t>
        </is>
      </c>
      <c r="M77" s="17" t="inlineStr">
        <is>
          <t>Musk, Amber, Sandalwood</t>
        </is>
      </c>
      <c r="N77" s="17" t="inlineStr">
        <is>
          <t>Unisex</t>
        </is>
      </c>
      <c r="O77" s="17" t="inlineStr">
        <is>
          <t>Opens with lemon, bergamot and pineapple, moves through nutmeg and violet, settles into musk and amber. Sunlit and clean, never heavy. Flexible enough for any wardrobe, a lighter, splashier cut, best refreshed through the day.</t>
        </is>
      </c>
    </row>
    <row r="78" ht="15" customHeight="1" s="11">
      <c r="A78" s="14" t="inlineStr">
        <is>
          <t>Calvin Klein</t>
        </is>
      </c>
      <c r="B78" s="14" t="inlineStr">
        <is>
          <t>Eternity for Men</t>
        </is>
      </c>
      <c r="C78" s="14" t="inlineStr">
        <is>
          <t>EDT</t>
        </is>
      </c>
      <c r="D78" s="14" t="inlineStr">
        <is>
          <t>100ml</t>
        </is>
      </c>
      <c r="E78" s="14">
        <f>IF(AND(A78&lt;&gt;"",B78&lt;&gt;"",D78&lt;&gt;""),UPPER(SUBSTITUTE(A78," ","-"))&amp;"-"&amp;UPPER(SUBSTITUTE(B78," ","-"))&amp;"-"&amp;UPPER(SUBSTITUTE(D78," ","-")),"")</f>
        <v/>
      </c>
      <c r="F78" s="14" t="inlineStr">
        <is>
          <t>200100010275</t>
        </is>
      </c>
      <c r="G78" s="15" t="n">
        <v>70</v>
      </c>
      <c r="H78" s="15" t="n">
        <v>38</v>
      </c>
      <c r="I78" s="16" t="n">
        <v>5</v>
      </c>
      <c r="J78" s="17" t="inlineStr">
        <is>
          <t>Fougère</t>
        </is>
      </c>
      <c r="K78" s="17" t="inlineStr">
        <is>
          <t>Lavender, Mandarin, Bergamot</t>
        </is>
      </c>
      <c r="L78" s="17" t="inlineStr">
        <is>
          <t>Sage, Coriander, Basil</t>
        </is>
      </c>
      <c r="M78" s="17" t="inlineStr">
        <is>
          <t>Sandalwood, Musk, Amber</t>
        </is>
      </c>
      <c r="N78" s="17" t="inlineStr">
        <is>
          <t>Masculine</t>
        </is>
      </c>
      <c r="O78" s="17" t="inlineStr">
        <is>
          <t>Opens with lavender, mandarin and bergamot, moves through sage and coriander, settles into sandalwood and musk. Structured and cool, a modern take on an old formula. An easy, no-fuss pick for daily wear, light enough for daytime, with a few hours of wear.</t>
        </is>
      </c>
    </row>
    <row r="79" ht="15" customHeight="1" s="11">
      <c r="A79" s="14" t="inlineStr">
        <is>
          <t>Ralph Lauren</t>
        </is>
      </c>
      <c r="B79" s="14" t="inlineStr">
        <is>
          <t>Polo Blue</t>
        </is>
      </c>
      <c r="C79" s="14" t="inlineStr">
        <is>
          <t>EDT</t>
        </is>
      </c>
      <c r="D79" s="14" t="inlineStr">
        <is>
          <t>100ml</t>
        </is>
      </c>
      <c r="E79" s="14">
        <f>IF(AND(A79&lt;&gt;"",B79&lt;&gt;"",D79&lt;&gt;""),UPPER(SUBSTITUTE(A79," ","-"))&amp;"-"&amp;UPPER(SUBSTITUTE(B79," ","-"))&amp;"-"&amp;UPPER(SUBSTITUTE(D79," ","-")),"")</f>
        <v/>
      </c>
      <c r="F79" s="14" t="inlineStr">
        <is>
          <t>200100010412</t>
        </is>
      </c>
      <c r="G79" s="15" t="n">
        <v>90</v>
      </c>
      <c r="H79" s="15" t="n">
        <v>50</v>
      </c>
      <c r="I79" s="16" t="n">
        <v>14</v>
      </c>
      <c r="J79" s="17" t="inlineStr">
        <is>
          <t>Fresh/Aquatic</t>
        </is>
      </c>
      <c r="K79" s="17" t="inlineStr">
        <is>
          <t>Melon, Cucumber, Mandarin</t>
        </is>
      </c>
      <c r="L79" s="17" t="inlineStr">
        <is>
          <t>Sage, Geranium, Basil</t>
        </is>
      </c>
      <c r="M79" s="17" t="inlineStr">
        <is>
          <t>Musk, Suede, Woods</t>
        </is>
      </c>
      <c r="N79" s="17" t="inlineStr">
        <is>
          <t>Masculine</t>
        </is>
      </c>
      <c r="O79" s="17" t="inlineStr">
        <is>
          <t>Opens with melon, cucumber and mandarin, moves through sage and geranium, settles into musk and suede. Airy and transparent, built to feel weightless. A confident one-bottle-does-it-all choice, light enough for daytime, with a few hours of wear.</t>
        </is>
      </c>
    </row>
    <row r="80" ht="15" customHeight="1" s="11">
      <c r="A80" s="14" t="inlineStr">
        <is>
          <t>Ralph Lauren</t>
        </is>
      </c>
      <c r="B80" s="14" t="inlineStr">
        <is>
          <t>Polo Red</t>
        </is>
      </c>
      <c r="C80" s="14" t="inlineStr">
        <is>
          <t>EDT</t>
        </is>
      </c>
      <c r="D80" s="14" t="inlineStr">
        <is>
          <t>100ml</t>
        </is>
      </c>
      <c r="E80" s="14">
        <f>IF(AND(A80&lt;&gt;"",B80&lt;&gt;"",D80&lt;&gt;""),UPPER(SUBSTITUTE(A80," ","-"))&amp;"-"&amp;UPPER(SUBSTITUTE(B80," ","-"))&amp;"-"&amp;UPPER(SUBSTITUTE(D80," ","-")),"")</f>
        <v/>
      </c>
      <c r="F80" s="14" t="inlineStr">
        <is>
          <t>200100010549</t>
        </is>
      </c>
      <c r="G80" s="15" t="n">
        <v>95</v>
      </c>
      <c r="H80" s="15" t="n">
        <v>52</v>
      </c>
      <c r="I80" s="16" t="n">
        <v>6</v>
      </c>
      <c r="J80" s="17" t="inlineStr">
        <is>
          <t>Woody</t>
        </is>
      </c>
      <c r="K80" s="17" t="inlineStr">
        <is>
          <t>Cranberry, Italian Lemon, Grapefruit</t>
        </is>
      </c>
      <c r="L80" s="17" t="inlineStr">
        <is>
          <t>Saffron, Sage, Coffee</t>
        </is>
      </c>
      <c r="M80" s="17" t="inlineStr">
        <is>
          <t>Amber, Cedar, Redwood</t>
        </is>
      </c>
      <c r="N80" s="17" t="inlineStr">
        <is>
          <t>Masculine</t>
        </is>
      </c>
      <c r="O80" s="17" t="inlineStr">
        <is>
          <t>Opens with cranberry, italian lemon and grapefruit, moves through saffron and sage, settles into amber and cedar. Dry and textured, more sweater than cologne. A confident one-bottle-does-it-all choice, light enough for daytime, with a few hours of wear.</t>
        </is>
      </c>
    </row>
    <row r="81" ht="15" customHeight="1" s="11">
      <c r="A81" s="14" t="inlineStr">
        <is>
          <t>Prada</t>
        </is>
      </c>
      <c r="B81" s="14" t="inlineStr">
        <is>
          <t>L'Homme</t>
        </is>
      </c>
      <c r="C81" s="14" t="inlineStr">
        <is>
          <t>EDT</t>
        </is>
      </c>
      <c r="D81" s="14" t="inlineStr">
        <is>
          <t>100ml</t>
        </is>
      </c>
      <c r="E81" s="14">
        <f>IF(AND(A81&lt;&gt;"",B81&lt;&gt;"",D81&lt;&gt;""),UPPER(SUBSTITUTE(A81," ","-"))&amp;"-"&amp;UPPER(SUBSTITUTE(B81," ","-"))&amp;"-"&amp;UPPER(SUBSTITUTE(D81," ","-")),"")</f>
        <v/>
      </c>
      <c r="F81" s="14" t="inlineStr">
        <is>
          <t>200100010686</t>
        </is>
      </c>
      <c r="G81" s="15" t="n">
        <v>105</v>
      </c>
      <c r="H81" s="15" t="n">
        <v>58</v>
      </c>
      <c r="I81" s="16" t="n">
        <v>3</v>
      </c>
      <c r="J81" s="17" t="inlineStr">
        <is>
          <t>Floral</t>
        </is>
      </c>
      <c r="K81" s="17" t="inlineStr">
        <is>
          <t>Neroli, Black Pepper, Cardamom</t>
        </is>
      </c>
      <c r="L81" s="17" t="inlineStr">
        <is>
          <t>Iris, Geranium, Violet</t>
        </is>
      </c>
      <c r="M81" s="17" t="inlineStr">
        <is>
          <t>Amber, Patchouli, Cedar</t>
        </is>
      </c>
      <c r="N81" s="17" t="inlineStr">
        <is>
          <t>Masculine</t>
        </is>
      </c>
      <c r="O81" s="17" t="inlineStr">
        <is>
          <t>Opens with neroli, black pepper and cardamom, moves through iris and geranium, settles into amber and patchouli. Delicate but never quiet, a bouquet that lingers. An easy, no-fuss pick for daily wear, light enough for daytime, with a few hours of wear.</t>
        </is>
      </c>
    </row>
    <row r="82" ht="15" customHeight="1" s="11">
      <c r="A82" s="14" t="inlineStr">
        <is>
          <t>Prada</t>
        </is>
      </c>
      <c r="B82" s="14" t="inlineStr">
        <is>
          <t>Luna Rossa Ocean</t>
        </is>
      </c>
      <c r="C82" s="14" t="inlineStr">
        <is>
          <t>EDT</t>
        </is>
      </c>
      <c r="D82" s="14" t="inlineStr">
        <is>
          <t>100ml</t>
        </is>
      </c>
      <c r="E82" s="14">
        <f>IF(AND(A82&lt;&gt;"",B82&lt;&gt;"",D82&lt;&gt;""),UPPER(SUBSTITUTE(A82," ","-"))&amp;"-"&amp;UPPER(SUBSTITUTE(B82," ","-"))&amp;"-"&amp;UPPER(SUBSTITUTE(D82," ","-")),"")</f>
        <v/>
      </c>
      <c r="F82" s="14" t="inlineStr">
        <is>
          <t>200100010823</t>
        </is>
      </c>
      <c r="G82" s="15" t="n">
        <v>100</v>
      </c>
      <c r="H82" s="15" t="n">
        <v>55</v>
      </c>
      <c r="I82" s="16" t="n">
        <v>5</v>
      </c>
      <c r="J82" s="17" t="inlineStr">
        <is>
          <t>Fresh/Aquatic</t>
        </is>
      </c>
      <c r="K82" s="17" t="inlineStr">
        <is>
          <t>Bergamot, Ambrette</t>
        </is>
      </c>
      <c r="L82" s="17" t="inlineStr">
        <is>
          <t>Sage, Agarwood</t>
        </is>
      </c>
      <c r="M82" s="17" t="inlineStr">
        <is>
          <t>Musk, Ambroxan, Patchouli</t>
        </is>
      </c>
      <c r="N82" s="17" t="inlineStr">
        <is>
          <t>Masculine</t>
        </is>
      </c>
      <c r="O82" s="17" t="inlineStr">
        <is>
          <t>Opens with bergamot and ambrette, moves through sage and agarwood, settles into musk and ambroxan. Cool and marine, like sea spray on skin. A dependable, everyday men's signature, light enough for daytime, with a few hours of wear.</t>
        </is>
      </c>
    </row>
    <row r="83" ht="15" customHeight="1" s="11">
      <c r="A83" s="14" t="inlineStr">
        <is>
          <t>Burberry</t>
        </is>
      </c>
      <c r="B83" s="14" t="inlineStr">
        <is>
          <t>Mr. Burberry</t>
        </is>
      </c>
      <c r="C83" s="14" t="inlineStr">
        <is>
          <t>EDT</t>
        </is>
      </c>
      <c r="D83" s="14" t="inlineStr">
        <is>
          <t>100ml</t>
        </is>
      </c>
      <c r="E83" s="14">
        <f>IF(AND(A83&lt;&gt;"",B83&lt;&gt;"",D83&lt;&gt;""),UPPER(SUBSTITUTE(A83," ","-"))&amp;"-"&amp;UPPER(SUBSTITUTE(B83," ","-"))&amp;"-"&amp;UPPER(SUBSTITUTE(D83," ","-")),"")</f>
        <v/>
      </c>
      <c r="F83" s="14" t="inlineStr">
        <is>
          <t>200100010960</t>
        </is>
      </c>
      <c r="G83" s="15" t="n">
        <v>95</v>
      </c>
      <c r="H83" s="15" t="n">
        <v>52</v>
      </c>
      <c r="I83" s="16" t="n">
        <v>3</v>
      </c>
      <c r="J83" s="17" t="inlineStr">
        <is>
          <t>Aromatic</t>
        </is>
      </c>
      <c r="K83" s="17" t="inlineStr">
        <is>
          <t>Grapefruit, Cardamom, Tarragon</t>
        </is>
      </c>
      <c r="L83" s="17" t="inlineStr">
        <is>
          <t>Birch Leaf, Nutmeg, Lavender</t>
        </is>
      </c>
      <c r="M83" s="17" t="inlineStr">
        <is>
          <t>Vetiver, Guaiac Wood, Cedar</t>
        </is>
      </c>
      <c r="N83" s="17" t="inlineStr">
        <is>
          <t>Masculine</t>
        </is>
      </c>
      <c r="O83" s="17" t="inlineStr">
        <is>
          <t>Opens with grapefruit, cardamom and tarragon, moves through birch leaf and nutmeg, settles into vetiver and guaiac wood. Brisk and confident, the classic aromatic snap. A confident one-bottle-does-it-all choice, light enough for daytime, with a few hours of wear.</t>
        </is>
      </c>
    </row>
    <row r="84" ht="15" customHeight="1" s="11">
      <c r="A84" s="14" t="inlineStr">
        <is>
          <t>Issey Miyake</t>
        </is>
      </c>
      <c r="B84" s="14" t="inlineStr">
        <is>
          <t>L'Eau d'Issey Pour Homme</t>
        </is>
      </c>
      <c r="C84" s="14" t="inlineStr">
        <is>
          <t>EDT</t>
        </is>
      </c>
      <c r="D84" s="14" t="inlineStr">
        <is>
          <t>100ml</t>
        </is>
      </c>
      <c r="E84" s="14">
        <f>IF(AND(A84&lt;&gt;"",B84&lt;&gt;"",D84&lt;&gt;""),UPPER(SUBSTITUTE(A84," ","-"))&amp;"-"&amp;UPPER(SUBSTITUTE(B84," ","-"))&amp;"-"&amp;UPPER(SUBSTITUTE(D84," ","-")),"")</f>
        <v/>
      </c>
      <c r="F84" s="14" t="inlineStr">
        <is>
          <t>200100011097</t>
        </is>
      </c>
      <c r="G84" s="15" t="n">
        <v>85</v>
      </c>
      <c r="H84" s="15" t="n">
        <v>47</v>
      </c>
      <c r="I84" s="16" t="n">
        <v>8</v>
      </c>
      <c r="J84" s="17" t="inlineStr">
        <is>
          <t>Fresh/Aquatic</t>
        </is>
      </c>
      <c r="K84" s="17" t="inlineStr">
        <is>
          <t>Yuzu, Bergamot, Cypress</t>
        </is>
      </c>
      <c r="L84" s="17" t="inlineStr">
        <is>
          <t>Nutmeg, Lily, Cinnamon</t>
        </is>
      </c>
      <c r="M84" s="17" t="inlineStr">
        <is>
          <t>Amber, Tobacco, Sandalwood, Vetiver</t>
        </is>
      </c>
      <c r="N84" s="17" t="inlineStr">
        <is>
          <t>Masculine</t>
        </is>
      </c>
      <c r="O84" s="17" t="inlineStr">
        <is>
          <t>Opens with yuzu, bergamot and cypress, moves through nutmeg and lily, settles into amber and tobacco. Clean and breezy, the fragrance equivalent of an open window. An easy, no-fuss pick for daily wear, light enough for daytime, with a few hours of wear.</t>
        </is>
      </c>
    </row>
    <row r="85" ht="15" customHeight="1" s="11">
      <c r="A85" s="14" t="inlineStr">
        <is>
          <t>Kenzo</t>
        </is>
      </c>
      <c r="B85" s="14" t="inlineStr">
        <is>
          <t>Flower by Kenzo</t>
        </is>
      </c>
      <c r="C85" s="14" t="inlineStr">
        <is>
          <t>EDP</t>
        </is>
      </c>
      <c r="D85" s="14" t="inlineStr">
        <is>
          <t>100ml</t>
        </is>
      </c>
      <c r="E85" s="14">
        <f>IF(AND(A85&lt;&gt;"",B85&lt;&gt;"",D85&lt;&gt;""),UPPER(SUBSTITUTE(A85," ","-"))&amp;"-"&amp;UPPER(SUBSTITUTE(B85," ","-"))&amp;"-"&amp;UPPER(SUBSTITUTE(D85," ","-")),"")</f>
        <v/>
      </c>
      <c r="F85" s="14" t="inlineStr">
        <is>
          <t>200100011234</t>
        </is>
      </c>
      <c r="G85" s="15" t="n">
        <v>105</v>
      </c>
      <c r="H85" s="15" t="n">
        <v>58</v>
      </c>
      <c r="I85" s="16" t="n">
        <v>6</v>
      </c>
      <c r="J85" s="17" t="inlineStr">
        <is>
          <t>Floral</t>
        </is>
      </c>
      <c r="K85" s="17" t="inlineStr">
        <is>
          <t>Blackcurrant, Mandarin</t>
        </is>
      </c>
      <c r="L85" s="17" t="inlineStr">
        <is>
          <t>Rose, Violet, Jasmine</t>
        </is>
      </c>
      <c r="M85" s="17" t="inlineStr">
        <is>
          <t>Vanilla, White Musk, Amber</t>
        </is>
      </c>
      <c r="N85" s="17" t="inlineStr">
        <is>
          <t>Feminine</t>
        </is>
      </c>
      <c r="O85" s="17" t="inlineStr">
        <is>
          <t>Opens with blackcurrant and mandarin, moves through rose and violet, settles into vanilla and white musk. Delicate but never quiet, a bouquet that lingers. An easy, wear-anywhere choice, concentrated enough to carry into the evening.</t>
        </is>
      </c>
    </row>
    <row r="86" ht="15" customHeight="1" s="11">
      <c r="A86" s="14" t="inlineStr">
        <is>
          <t>Viktor&amp;Rolf</t>
        </is>
      </c>
      <c r="B86" s="14" t="inlineStr">
        <is>
          <t>Spicebomb</t>
        </is>
      </c>
      <c r="C86" s="14" t="inlineStr">
        <is>
          <t>EDT</t>
        </is>
      </c>
      <c r="D86" s="14" t="inlineStr">
        <is>
          <t>100ml</t>
        </is>
      </c>
      <c r="E86" s="14">
        <f>IF(AND(A86&lt;&gt;"",B86&lt;&gt;"",D86&lt;&gt;""),UPPER(SUBSTITUTE(A86," ","-"))&amp;"-"&amp;UPPER(SUBSTITUTE(B86," ","-"))&amp;"-"&amp;UPPER(SUBSTITUTE(D86," ","-")),"")</f>
        <v/>
      </c>
      <c r="F86" s="14" t="inlineStr">
        <is>
          <t>200100011371</t>
        </is>
      </c>
      <c r="G86" s="15" t="n">
        <v>95</v>
      </c>
      <c r="H86" s="15" t="n">
        <v>52</v>
      </c>
      <c r="I86" s="16" t="n">
        <v>9</v>
      </c>
      <c r="J86" s="17" t="inlineStr">
        <is>
          <t>Amber/Oriental</t>
        </is>
      </c>
      <c r="K86" s="17" t="inlineStr">
        <is>
          <t>Bergamot, Grapefruit, Pink Pepper</t>
        </is>
      </c>
      <c r="L86" s="17" t="inlineStr">
        <is>
          <t>Cinnamon, Saffron, Paprika</t>
        </is>
      </c>
      <c r="M86" s="17" t="inlineStr">
        <is>
          <t>Tobacco, Leather, Vetiver</t>
        </is>
      </c>
      <c r="N86" s="17" t="inlineStr">
        <is>
          <t>Masculine</t>
        </is>
      </c>
      <c r="O86" s="17" t="inlineStr">
        <is>
          <t>Opens with bergamot, grapefruit and pink pepper, moves through cinnamon and saffron, settles into tobacco and leather. Rich and enveloping, built for cooler nights. An easy, no-fuss pick for daily wear, light enough for daytime, with a few hours of wear.</t>
        </is>
      </c>
    </row>
    <row r="87" ht="15" customHeight="1" s="11">
      <c r="A87" s="14" t="inlineStr">
        <is>
          <t>Giorgio Armani</t>
        </is>
      </c>
      <c r="B87" s="14" t="inlineStr">
        <is>
          <t>Armani Code</t>
        </is>
      </c>
      <c r="C87" s="14" t="inlineStr">
        <is>
          <t>EDT</t>
        </is>
      </c>
      <c r="D87" s="14" t="inlineStr">
        <is>
          <t>100ml</t>
        </is>
      </c>
      <c r="E87" s="14">
        <f>IF(AND(A87&lt;&gt;"",B87&lt;&gt;"",D87&lt;&gt;""),UPPER(SUBSTITUTE(A87," ","-"))&amp;"-"&amp;UPPER(SUBSTITUTE(B87," ","-"))&amp;"-"&amp;UPPER(SUBSTITUTE(D87," ","-")),"")</f>
        <v/>
      </c>
      <c r="F87" s="14" t="inlineStr">
        <is>
          <t>200100011508</t>
        </is>
      </c>
      <c r="G87" s="15" t="n">
        <v>90</v>
      </c>
      <c r="H87" s="15" t="n">
        <v>50</v>
      </c>
      <c r="I87" s="16" t="n">
        <v>12</v>
      </c>
      <c r="J87" s="17" t="inlineStr">
        <is>
          <t>Amber/Oriental</t>
        </is>
      </c>
      <c r="K87" s="17" t="inlineStr">
        <is>
          <t>Bergamot, Lemon</t>
        </is>
      </c>
      <c r="L87" s="17" t="inlineStr">
        <is>
          <t>Olive Blossom, Star Anise</t>
        </is>
      </c>
      <c r="M87" s="17" t="inlineStr">
        <is>
          <t>Tonka Bean, Leather, Guaiac Wood</t>
        </is>
      </c>
      <c r="N87" s="17" t="inlineStr">
        <is>
          <t>Masculine</t>
        </is>
      </c>
      <c r="O87" s="17" t="inlineStr">
        <is>
          <t>Opens with bergamot and lemon, moves through olive blossom and star anise, settles into tonka bean and leather. Rich and enveloping, built for cooler nights. An easy, no-fuss pick for daily wear, light enough for daytime, with a few hours of wear.</t>
        </is>
      </c>
    </row>
    <row r="88" ht="15" customHeight="1" s="11">
      <c r="A88" s="14" t="inlineStr">
        <is>
          <t>Giorgio Armani</t>
        </is>
      </c>
      <c r="B88" s="14" t="inlineStr">
        <is>
          <t>My Way</t>
        </is>
      </c>
      <c r="C88" s="14" t="inlineStr">
        <is>
          <t>EDP</t>
        </is>
      </c>
      <c r="D88" s="14" t="inlineStr">
        <is>
          <t>90ml</t>
        </is>
      </c>
      <c r="E88" s="14">
        <f>IF(AND(A88&lt;&gt;"",B88&lt;&gt;"",D88&lt;&gt;""),UPPER(SUBSTITUTE(A88," ","-"))&amp;"-"&amp;UPPER(SUBSTITUTE(B88," ","-"))&amp;"-"&amp;UPPER(SUBSTITUTE(D88," ","-")),"")</f>
        <v/>
      </c>
      <c r="F88" s="14" t="inlineStr">
        <is>
          <t>200100011645</t>
        </is>
      </c>
      <c r="G88" s="15" t="n">
        <v>115</v>
      </c>
      <c r="H88" s="15" t="n">
        <v>63</v>
      </c>
      <c r="I88" s="16" t="n">
        <v>7</v>
      </c>
      <c r="J88" s="17" t="inlineStr">
        <is>
          <t>Floral</t>
        </is>
      </c>
      <c r="K88" s="17" t="inlineStr">
        <is>
          <t>Orange Blossom, Bergamot</t>
        </is>
      </c>
      <c r="L88" s="17" t="inlineStr">
        <is>
          <t>Tuberose, Indian Jasmine</t>
        </is>
      </c>
      <c r="M88" s="17" t="inlineStr">
        <is>
          <t>Cedar, Vanilla, White Musk</t>
        </is>
      </c>
      <c r="N88" s="17" t="inlineStr">
        <is>
          <t>Feminine</t>
        </is>
      </c>
      <c r="O88" s="17" t="inlineStr">
        <is>
          <t>Opens with orange blossom and bergamot, moves through tuberose and indian jasmine, settles into cedar and vanilla. Soft-petaled and radiant, built around a true floral heart. A versatile, everyday signature, concentrated enough to carry into the evening.</t>
        </is>
      </c>
    </row>
    <row r="89" ht="15" customHeight="1" s="11">
      <c r="A89" s="14" t="inlineStr">
        <is>
          <t>Tom Ford</t>
        </is>
      </c>
      <c r="B89" s="14" t="inlineStr">
        <is>
          <t>Black Orchid</t>
        </is>
      </c>
      <c r="C89" s="14" t="inlineStr">
        <is>
          <t>EDP</t>
        </is>
      </c>
      <c r="D89" s="14" t="inlineStr">
        <is>
          <t>100ml</t>
        </is>
      </c>
      <c r="E89" s="14">
        <f>IF(AND(A89&lt;&gt;"",B89&lt;&gt;"",D89&lt;&gt;""),UPPER(SUBSTITUTE(A89," ","-"))&amp;"-"&amp;UPPER(SUBSTITUTE(B89," ","-"))&amp;"-"&amp;UPPER(SUBSTITUTE(D89," ","-")),"")</f>
        <v/>
      </c>
      <c r="F89" s="14" t="inlineStr">
        <is>
          <t>200100011782</t>
        </is>
      </c>
      <c r="G89" s="15" t="n">
        <v>155</v>
      </c>
      <c r="H89" s="15" t="n">
        <v>85</v>
      </c>
      <c r="I89" s="16" t="n">
        <v>4</v>
      </c>
      <c r="J89" s="17" t="inlineStr">
        <is>
          <t>Amber/Oriental</t>
        </is>
      </c>
      <c r="K89" s="17" t="inlineStr">
        <is>
          <t>Black Truffle, Ylang-Ylang, Bergamot</t>
        </is>
      </c>
      <c r="L89" s="17" t="inlineStr">
        <is>
          <t>Orchid, Spices, Lotus Wood</t>
        </is>
      </c>
      <c r="M89" s="17" t="inlineStr">
        <is>
          <t>Patchouli, Vanilla, Incense, Sandalwood</t>
        </is>
      </c>
      <c r="N89" s="17" t="inlineStr">
        <is>
          <t>Unisex</t>
        </is>
      </c>
      <c r="O89" s="17" t="inlineStr">
        <is>
          <t>Opens with black truffle, ylang-ylang and bergamot, moves through orchid and spices, settles into patchouli and vanilla. Spiced and sensual, the kind of scent people lean in for. Flexible enough for any wardrobe, concentrated enough to carry into the evening.</t>
        </is>
      </c>
    </row>
    <row r="90" ht="15" customHeight="1" s="11">
      <c r="A90" s="14" t="inlineStr">
        <is>
          <t>Tom Ford</t>
        </is>
      </c>
      <c r="B90" s="14" t="inlineStr">
        <is>
          <t>Lost Cherry</t>
        </is>
      </c>
      <c r="C90" s="14" t="inlineStr">
        <is>
          <t>EDP</t>
        </is>
      </c>
      <c r="D90" s="14" t="inlineStr">
        <is>
          <t>50ml</t>
        </is>
      </c>
      <c r="E90" s="14">
        <f>IF(AND(A90&lt;&gt;"",B90&lt;&gt;"",D90&lt;&gt;""),UPPER(SUBSTITUTE(A90," ","-"))&amp;"-"&amp;UPPER(SUBSTITUTE(B90," ","-"))&amp;"-"&amp;UPPER(SUBSTITUTE(D90," ","-")),"")</f>
        <v/>
      </c>
      <c r="F90" s="14" t="inlineStr">
        <is>
          <t>200100011919</t>
        </is>
      </c>
      <c r="G90" s="15" t="n">
        <v>275</v>
      </c>
      <c r="H90" s="15" t="n">
        <v>151</v>
      </c>
      <c r="I90" s="16" t="n">
        <v>7</v>
      </c>
      <c r="J90" s="17" t="inlineStr">
        <is>
          <t>Gourmand</t>
        </is>
      </c>
      <c r="K90" s="17" t="inlineStr">
        <is>
          <t>Black Cherry, Cherry Liqueur, Bitter Almond</t>
        </is>
      </c>
      <c r="L90" s="17" t="inlineStr">
        <is>
          <t>Turkish Rose, Jasmine</t>
        </is>
      </c>
      <c r="M90" s="17" t="inlineStr">
        <is>
          <t>Tonka, Vanilla, Cinnamon, Peru Balsam</t>
        </is>
      </c>
      <c r="N90" s="17" t="inlineStr">
        <is>
          <t>Unisex</t>
        </is>
      </c>
      <c r="O90" s="17" t="inlineStr">
        <is>
          <t>Opens with black cherry, cherry liqueur and bitter almond, moves through turkish rose and jasmine, settles into tonka and vanilla. Warm and comforting, like something baked. Genuinely unisex, no gendered marketing required, concentrated enough to carry into the evening.</t>
        </is>
      </c>
    </row>
    <row r="91" ht="15" customHeight="1" s="11">
      <c r="A91" s="14" t="inlineStr">
        <is>
          <t>Versace</t>
        </is>
      </c>
      <c r="B91" s="14" t="inlineStr">
        <is>
          <t>Pour Homme</t>
        </is>
      </c>
      <c r="C91" s="14" t="inlineStr">
        <is>
          <t>EDT</t>
        </is>
      </c>
      <c r="D91" s="14" t="inlineStr">
        <is>
          <t>100ml</t>
        </is>
      </c>
      <c r="E91" s="14">
        <f>IF(AND(A91&lt;&gt;"",B91&lt;&gt;"",D91&lt;&gt;""),UPPER(SUBSTITUTE(A91," ","-"))&amp;"-"&amp;UPPER(SUBSTITUTE(B91," ","-"))&amp;"-"&amp;UPPER(SUBSTITUTE(D91," ","-")),"")</f>
        <v/>
      </c>
      <c r="F91" s="14" t="inlineStr">
        <is>
          <t>200100012056</t>
        </is>
      </c>
      <c r="G91" s="15" t="n">
        <v>75</v>
      </c>
      <c r="H91" s="15" t="n">
        <v>41</v>
      </c>
      <c r="I91" s="16" t="n">
        <v>7</v>
      </c>
      <c r="J91" s="17" t="inlineStr">
        <is>
          <t>Fresh/Aquatic</t>
        </is>
      </c>
      <c r="K91" s="17" t="inlineStr">
        <is>
          <t>Bergamot, Neroli, Citron</t>
        </is>
      </c>
      <c r="L91" s="17" t="inlineStr">
        <is>
          <t>Hyacinth, Clary Sage, Geranium</t>
        </is>
      </c>
      <c r="M91" s="17" t="inlineStr">
        <is>
          <t>Musk, Cedar, Tonka, Amber</t>
        </is>
      </c>
      <c r="N91" s="17" t="inlineStr">
        <is>
          <t>Masculine</t>
        </is>
      </c>
      <c r="O91" s="17" t="inlineStr">
        <is>
          <t>Opens with bergamot, neroli and citron, moves through hyacinth and clary sage, settles into musk and cedar. Cool and marine, like sea spray on skin. A dependable, everyday men's signature, light enough for daytime, with a few hours of wear.</t>
        </is>
      </c>
    </row>
    <row r="92" ht="15" customHeight="1" s="11">
      <c r="A92" s="14" t="inlineStr">
        <is>
          <t>Nishane</t>
        </is>
      </c>
      <c r="B92" s="14" t="inlineStr">
        <is>
          <t>Hacivat</t>
        </is>
      </c>
      <c r="C92" s="14" t="inlineStr">
        <is>
          <t>EDP</t>
        </is>
      </c>
      <c r="D92" s="14" t="inlineStr">
        <is>
          <t>50ml</t>
        </is>
      </c>
      <c r="E92" s="14">
        <f>IF(AND(A92&lt;&gt;"",B92&lt;&gt;"",D92&lt;&gt;""),UPPER(SUBSTITUTE(A92," ","-"))&amp;"-"&amp;UPPER(SUBSTITUTE(B92," ","-"))&amp;"-"&amp;UPPER(SUBSTITUTE(D92," ","-")),"")</f>
        <v/>
      </c>
      <c r="F92" s="14" t="inlineStr">
        <is>
          <t>200100012193</t>
        </is>
      </c>
      <c r="G92" s="15" t="n">
        <v>180</v>
      </c>
      <c r="H92" s="15" t="n">
        <v>99</v>
      </c>
      <c r="I92" s="16" t="n">
        <v>5</v>
      </c>
      <c r="J92" s="17" t="inlineStr">
        <is>
          <t>Chypre</t>
        </is>
      </c>
      <c r="K92" s="17" t="inlineStr">
        <is>
          <t>Pineapple, Bergamot, Grapefruit</t>
        </is>
      </c>
      <c r="L92" s="17" t="inlineStr">
        <is>
          <t>Patchouli, Cedar</t>
        </is>
      </c>
      <c r="M92" s="17" t="inlineStr">
        <is>
          <t>Oakmoss, Musk, Labdanum</t>
        </is>
      </c>
      <c r="N92" s="17" t="inlineStr">
        <is>
          <t>Unisex</t>
        </is>
      </c>
      <c r="O92" s="17" t="inlineStr">
        <is>
          <t>Opens with pineapple, bergamot and grapefruit, moves through patchouli and cedar, settles into oakmoss and musk. Structured and sophisticated, rewards a second sniff. Flexible enough for any wardrobe, concentrated enough to carry into the evening.</t>
        </is>
      </c>
    </row>
    <row r="93" ht="15" customHeight="1" s="11">
      <c r="A93" s="14" t="inlineStr">
        <is>
          <t>Amouage</t>
        </is>
      </c>
      <c r="B93" s="14" t="inlineStr">
        <is>
          <t>Interlude Man</t>
        </is>
      </c>
      <c r="C93" s="14" t="inlineStr">
        <is>
          <t>EDP</t>
        </is>
      </c>
      <c r="D93" s="14" t="inlineStr">
        <is>
          <t>100ml</t>
        </is>
      </c>
      <c r="E93" s="14">
        <f>IF(AND(A93&lt;&gt;"",B93&lt;&gt;"",D93&lt;&gt;""),UPPER(SUBSTITUTE(A93," ","-"))&amp;"-"&amp;UPPER(SUBSTITUTE(B93," ","-"))&amp;"-"&amp;UPPER(SUBSTITUTE(D93," ","-")),"")</f>
        <v/>
      </c>
      <c r="F93" s="14" t="inlineStr">
        <is>
          <t>200100012330</t>
        </is>
      </c>
      <c r="G93" s="15" t="n">
        <v>340</v>
      </c>
      <c r="H93" s="15" t="n">
        <v>187</v>
      </c>
      <c r="I93" s="16" t="n">
        <v>12</v>
      </c>
      <c r="J93" s="17" t="inlineStr">
        <is>
          <t>Amber/Oriental</t>
        </is>
      </c>
      <c r="K93" s="17" t="inlineStr">
        <is>
          <t>Bergamot, Oregano, Pepper</t>
        </is>
      </c>
      <c r="L93" s="17" t="inlineStr">
        <is>
          <t>Amber, Cistus, Frankincense</t>
        </is>
      </c>
      <c r="M93" s="17" t="inlineStr">
        <is>
          <t>Leather, Sandalwood, Musk</t>
        </is>
      </c>
      <c r="N93" s="17" t="inlineStr">
        <is>
          <t>Masculine</t>
        </is>
      </c>
      <c r="O93" s="17" t="inlineStr">
        <is>
          <t>Opens with bergamot, oregano and pepper, moves through amber and cistus, settles into leather and sandalwood. Warm and resinous, glowing rather than shouting. A dependable, everyday men's signature, concentrated enough to carry into the evening.</t>
        </is>
      </c>
    </row>
    <row r="94" ht="15" customHeight="1" s="11">
      <c r="A94" s="14" t="inlineStr">
        <is>
          <t>Jo Malone</t>
        </is>
      </c>
      <c r="B94" s="14" t="inlineStr">
        <is>
          <t>Peony &amp; Blush Suede</t>
        </is>
      </c>
      <c r="C94" s="14" t="inlineStr">
        <is>
          <t>Cologne</t>
        </is>
      </c>
      <c r="D94" s="14" t="inlineStr">
        <is>
          <t>100ml</t>
        </is>
      </c>
      <c r="E94" s="14">
        <f>IF(AND(A94&lt;&gt;"",B94&lt;&gt;"",D94&lt;&gt;""),UPPER(SUBSTITUTE(A94," ","-"))&amp;"-"&amp;UPPER(SUBSTITUTE(B94," ","-"))&amp;"-"&amp;UPPER(SUBSTITUTE(D94," ","-")),"")</f>
        <v/>
      </c>
      <c r="F94" s="14" t="inlineStr">
        <is>
          <t>200100012467</t>
        </is>
      </c>
      <c r="G94" s="15" t="n">
        <v>150</v>
      </c>
      <c r="H94" s="15" t="n">
        <v>82</v>
      </c>
      <c r="I94" s="16" t="n">
        <v>6</v>
      </c>
      <c r="J94" s="17" t="inlineStr">
        <is>
          <t>Floral</t>
        </is>
      </c>
      <c r="K94" s="17" t="inlineStr">
        <is>
          <t>Red Apple</t>
        </is>
      </c>
      <c r="L94" s="17" t="inlineStr">
        <is>
          <t>Peony, Jasmine, Rose</t>
        </is>
      </c>
      <c r="M94" s="17" t="inlineStr">
        <is>
          <t>Suede</t>
        </is>
      </c>
      <c r="N94" s="17" t="inlineStr">
        <is>
          <t>Feminine</t>
        </is>
      </c>
      <c r="O94" s="17" t="inlineStr">
        <is>
          <t>Opens with red apple, moves through peony and jasmine, settles into suede. Delicate but never quiet, a bouquet that lingers. An easy, wear-anywhere choice, a lighter, splashier cut, best refreshed through the day.</t>
        </is>
      </c>
    </row>
    <row r="95" ht="15" customHeight="1" s="11">
      <c r="A95" s="14" t="inlineStr">
        <is>
          <t>Diptyque</t>
        </is>
      </c>
      <c r="B95" s="14" t="inlineStr">
        <is>
          <t>Philosykos</t>
        </is>
      </c>
      <c r="C95" s="14" t="inlineStr">
        <is>
          <t>EDT</t>
        </is>
      </c>
      <c r="D95" s="14" t="inlineStr">
        <is>
          <t>100ml</t>
        </is>
      </c>
      <c r="E95" s="14">
        <f>IF(AND(A95&lt;&gt;"",B95&lt;&gt;"",D95&lt;&gt;""),UPPER(SUBSTITUTE(A95," ","-"))&amp;"-"&amp;UPPER(SUBSTITUTE(B95," ","-"))&amp;"-"&amp;UPPER(SUBSTITUTE(D95," ","-")),"")</f>
        <v/>
      </c>
      <c r="F95" s="14" t="inlineStr">
        <is>
          <t>200100012604</t>
        </is>
      </c>
      <c r="G95" s="15" t="n">
        <v>150</v>
      </c>
      <c r="H95" s="15" t="n">
        <v>82</v>
      </c>
      <c r="I95" s="16" t="n">
        <v>13</v>
      </c>
      <c r="J95" s="17" t="inlineStr">
        <is>
          <t>Green</t>
        </is>
      </c>
      <c r="K95" s="17" t="inlineStr">
        <is>
          <t>Fig Leaf</t>
        </is>
      </c>
      <c r="L95" s="17" t="inlineStr">
        <is>
          <t>Fig, Coconut</t>
        </is>
      </c>
      <c r="M95" s="17" t="inlineStr">
        <is>
          <t>Fig Tree Wood, Cedar</t>
        </is>
      </c>
      <c r="N95" s="17" t="inlineStr">
        <is>
          <t>Unisex</t>
        </is>
      </c>
      <c r="O95" s="17" t="inlineStr">
        <is>
          <t>Opens with fig leaf, moves through fig and coconut, settles into fig tree wood and cedar. Grassy and sharp, unmistakably outdoors. Flexible enough for any wardrobe, light enough for daytime, with a few hours of wear.</t>
        </is>
      </c>
    </row>
    <row r="96" ht="15" customHeight="1" s="11">
      <c r="A96" s="14" t="inlineStr">
        <is>
          <t>Maison Francis Kurkdjian</t>
        </is>
      </c>
      <c r="B96" s="14" t="inlineStr">
        <is>
          <t>Grand Soir</t>
        </is>
      </c>
      <c r="C96" s="14" t="inlineStr">
        <is>
          <t>EDP</t>
        </is>
      </c>
      <c r="D96" s="14" t="inlineStr">
        <is>
          <t>70ml</t>
        </is>
      </c>
      <c r="E96" s="14">
        <f>IF(AND(A96&lt;&gt;"",B96&lt;&gt;"",D96&lt;&gt;""),UPPER(SUBSTITUTE(A96," ","-"))&amp;"-"&amp;UPPER(SUBSTITUTE(B96," ","-"))&amp;"-"&amp;UPPER(SUBSTITUTE(D96," ","-")),"")</f>
        <v/>
      </c>
      <c r="F96" s="14" t="inlineStr">
        <is>
          <t>200100012741</t>
        </is>
      </c>
      <c r="G96" s="15" t="n">
        <v>325</v>
      </c>
      <c r="H96" s="15" t="n">
        <v>179</v>
      </c>
      <c r="I96" s="16" t="n">
        <v>12</v>
      </c>
      <c r="J96" s="17" t="inlineStr">
        <is>
          <t>Amber/Oriental</t>
        </is>
      </c>
      <c r="K96" s="17" t="inlineStr">
        <is>
          <t>Amber</t>
        </is>
      </c>
      <c r="L96" s="17" t="inlineStr">
        <is>
          <t>Benzoin, Labdanum</t>
        </is>
      </c>
      <c r="M96" s="17" t="inlineStr">
        <is>
          <t>Vanilla, Tonka, Cedar</t>
        </is>
      </c>
      <c r="N96" s="17" t="inlineStr">
        <is>
          <t>Unisex</t>
        </is>
      </c>
      <c r="O96" s="17" t="inlineStr">
        <is>
          <t>Opens with amber, moves through benzoin and labdanum, settles into vanilla and tonka. Spiced and sensual, the kind of scent people lean in for. Flexible enough for any wardrobe, concentrated enough to carry into the evening.</t>
        </is>
      </c>
    </row>
    <row r="97" ht="15" customHeight="1" s="11">
      <c r="A97" s="14" t="inlineStr">
        <is>
          <t>Carolina Herrera</t>
        </is>
      </c>
      <c r="B97" s="14" t="inlineStr">
        <is>
          <t>212 VIP Rosé</t>
        </is>
      </c>
      <c r="C97" s="14" t="inlineStr">
        <is>
          <t>EDP</t>
        </is>
      </c>
      <c r="D97" s="14" t="inlineStr">
        <is>
          <t>80ml</t>
        </is>
      </c>
      <c r="E97" s="14">
        <f>IF(AND(A97&lt;&gt;"",B97&lt;&gt;"",D97&lt;&gt;""),UPPER(SUBSTITUTE(A97," ","-"))&amp;"-"&amp;UPPER(SUBSTITUTE(B97," ","-"))&amp;"-"&amp;UPPER(SUBSTITUTE(D97," ","-")),"")</f>
        <v/>
      </c>
      <c r="F97" s="14" t="inlineStr">
        <is>
          <t>200100012878</t>
        </is>
      </c>
      <c r="G97" s="15" t="n">
        <v>95</v>
      </c>
      <c r="H97" s="15" t="n">
        <v>52</v>
      </c>
      <c r="I97" s="16" t="n">
        <v>12</v>
      </c>
      <c r="J97" s="17" t="inlineStr">
        <is>
          <t>Floral</t>
        </is>
      </c>
      <c r="K97" s="17" t="inlineStr">
        <is>
          <t>Peach, Champagne Rosé</t>
        </is>
      </c>
      <c r="L97" s="17" t="inlineStr">
        <is>
          <t>Rose</t>
        </is>
      </c>
      <c r="M97" s="17" t="inlineStr">
        <is>
          <t>Musk</t>
        </is>
      </c>
      <c r="N97" s="17" t="inlineStr">
        <is>
          <t>Feminine</t>
        </is>
      </c>
      <c r="O97" s="17" t="inlineStr">
        <is>
          <t>Opens with peach and champagne rosé, moves through rose, settles into musk. Soft-petaled and radiant, built around a true floral heart. A versatile, everyday signature, concentrated enough to carry into the evening.</t>
        </is>
      </c>
    </row>
    <row r="98" ht="15" customHeight="1" s="11">
      <c r="A98" s="14" t="inlineStr">
        <is>
          <t>Dior</t>
        </is>
      </c>
      <c r="B98" s="14" t="inlineStr">
        <is>
          <t>Homme</t>
        </is>
      </c>
      <c r="C98" s="14" t="inlineStr">
        <is>
          <t>EDT</t>
        </is>
      </c>
      <c r="D98" s="14" t="inlineStr">
        <is>
          <t>100ml</t>
        </is>
      </c>
      <c r="E98" s="14">
        <f>IF(AND(A98&lt;&gt;"",B98&lt;&gt;"",D98&lt;&gt;""),UPPER(SUBSTITUTE(A98," ","-"))&amp;"-"&amp;UPPER(SUBSTITUTE(B98," ","-"))&amp;"-"&amp;UPPER(SUBSTITUTE(D98," ","-")),"")</f>
        <v/>
      </c>
      <c r="F98" s="14" t="inlineStr">
        <is>
          <t>200100013015</t>
        </is>
      </c>
      <c r="G98" s="15" t="n">
        <v>110</v>
      </c>
      <c r="H98" s="15" t="n">
        <v>61</v>
      </c>
      <c r="I98" s="16" t="n">
        <v>3</v>
      </c>
      <c r="J98" s="17" t="inlineStr">
        <is>
          <t>Woody</t>
        </is>
      </c>
      <c r="K98" s="17" t="inlineStr">
        <is>
          <t>Bergamot, Pink Pepper</t>
        </is>
      </c>
      <c r="L98" s="17" t="inlineStr">
        <is>
          <t>Iris, Cashmere Wood</t>
        </is>
      </c>
      <c r="M98" s="17" t="inlineStr">
        <is>
          <t>Vetiver, Haitian Vetiver</t>
        </is>
      </c>
      <c r="N98" s="17" t="inlineStr">
        <is>
          <t>Masculine</t>
        </is>
      </c>
      <c r="O98" s="17" t="inlineStr">
        <is>
          <t>Opens with bergamot and pink pepper, moves through iris and cashmere wood, settles into vetiver and haitian vetiver. Dry and textured, more sweater than cologne. A confident one-bottle-does-it-all choice, light enough for daytime, with a few hours of wear.</t>
        </is>
      </c>
    </row>
    <row r="99" ht="15" customHeight="1" s="11">
      <c r="A99" s="14" t="inlineStr">
        <is>
          <t>Guerlain</t>
        </is>
      </c>
      <c r="B99" s="14" t="inlineStr">
        <is>
          <t>Mon Guerlain</t>
        </is>
      </c>
      <c r="C99" s="14" t="inlineStr">
        <is>
          <t>EDP</t>
        </is>
      </c>
      <c r="D99" s="14" t="inlineStr">
        <is>
          <t>100ml</t>
        </is>
      </c>
      <c r="E99" s="14">
        <f>IF(AND(A99&lt;&gt;"",B99&lt;&gt;"",D99&lt;&gt;""),UPPER(SUBSTITUTE(A99," ","-"))&amp;"-"&amp;UPPER(SUBSTITUTE(B99," ","-"))&amp;"-"&amp;UPPER(SUBSTITUTE(D99," ","-")),"")</f>
        <v/>
      </c>
      <c r="F99" s="14" t="inlineStr">
        <is>
          <t>200100013152</t>
        </is>
      </c>
      <c r="G99" s="15" t="n">
        <v>110</v>
      </c>
      <c r="H99" s="15" t="n">
        <v>61</v>
      </c>
      <c r="I99" s="16" t="n">
        <v>11</v>
      </c>
      <c r="J99" s="17" t="inlineStr">
        <is>
          <t>Amber/Oriental</t>
        </is>
      </c>
      <c r="K99" s="17" t="inlineStr">
        <is>
          <t>Bergamot, Lavender</t>
        </is>
      </c>
      <c r="L99" s="17" t="inlineStr">
        <is>
          <t>Jasmine, Iris</t>
        </is>
      </c>
      <c r="M99" s="17" t="inlineStr">
        <is>
          <t>Vanilla, Tonka, Sandalwood</t>
        </is>
      </c>
      <c r="N99" s="17" t="inlineStr">
        <is>
          <t>Feminine</t>
        </is>
      </c>
      <c r="O99" s="17" t="inlineStr">
        <is>
          <t>Opens with bergamot and lavender, moves through jasmine and iris, settles into vanilla and tonka. Warm and resinous, glowing rather than shouting. A versatile, everyday signature, concentrated enough to carry into the evening.</t>
        </is>
      </c>
    </row>
    <row r="100" ht="15" customHeight="1" s="11">
      <c r="A100" s="14" t="inlineStr">
        <is>
          <t>Kilian</t>
        </is>
      </c>
      <c r="B100" s="14" t="inlineStr">
        <is>
          <t>Angels' Share</t>
        </is>
      </c>
      <c r="C100" s="14" t="inlineStr">
        <is>
          <t>EDP</t>
        </is>
      </c>
      <c r="D100" s="14" t="inlineStr">
        <is>
          <t>50ml</t>
        </is>
      </c>
      <c r="E100" s="14">
        <f>IF(AND(A100&lt;&gt;"",B100&lt;&gt;"",D100&lt;&gt;""),UPPER(SUBSTITUTE(A100," ","-"))&amp;"-"&amp;UPPER(SUBSTITUTE(B100," ","-"))&amp;"-"&amp;UPPER(SUBSTITUTE(D100," ","-")),"")</f>
        <v/>
      </c>
      <c r="F100" s="14" t="inlineStr">
        <is>
          <t>200100013289</t>
        </is>
      </c>
      <c r="G100" s="15" t="n">
        <v>290</v>
      </c>
      <c r="H100" s="15" t="n">
        <v>160</v>
      </c>
      <c r="I100" s="16" t="n">
        <v>12</v>
      </c>
      <c r="J100" s="17" t="inlineStr">
        <is>
          <t>Gourmand</t>
        </is>
      </c>
      <c r="K100" s="17" t="inlineStr">
        <is>
          <t>Cognac</t>
        </is>
      </c>
      <c r="L100" s="17" t="inlineStr">
        <is>
          <t>Cinnamon, Tonka</t>
        </is>
      </c>
      <c r="M100" s="17" t="inlineStr">
        <is>
          <t>Vanilla, Praline, Oak</t>
        </is>
      </c>
      <c r="N100" s="17" t="inlineStr">
        <is>
          <t>Unisex</t>
        </is>
      </c>
      <c r="O100" s="17" t="inlineStr">
        <is>
          <t>Opens with cognac, moves through cinnamon and tonka, settles into vanilla and praline. Sweet and edible without tipping into dessert. Built to wear well on anyone, concentrated enough to carry into the evening.</t>
        </is>
      </c>
    </row>
    <row r="101" ht="15" customHeight="1" s="11">
      <c r="A101" s="14" t="inlineStr">
        <is>
          <t>Dior</t>
        </is>
      </c>
      <c r="B101" s="14" t="inlineStr">
        <is>
          <t>Sauvage Elixir</t>
        </is>
      </c>
      <c r="C101" s="14" t="inlineStr">
        <is>
          <t>Parfum</t>
        </is>
      </c>
      <c r="D101" s="14" t="inlineStr">
        <is>
          <t>60ml</t>
        </is>
      </c>
      <c r="E101" s="14">
        <f>IF(AND(A101&lt;&gt;"",B101&lt;&gt;"",D101&lt;&gt;""),UPPER(SUBSTITUTE(A101," ","-"))&amp;"-"&amp;UPPER(SUBSTITUTE(B101," ","-"))&amp;"-"&amp;UPPER(SUBSTITUTE(D101," ","-")),"")</f>
        <v/>
      </c>
      <c r="F101" s="14" t="inlineStr">
        <is>
          <t>200100013426</t>
        </is>
      </c>
      <c r="G101" s="15" t="n">
        <v>165</v>
      </c>
      <c r="H101" s="15" t="n">
        <v>91</v>
      </c>
      <c r="I101" s="16" t="n">
        <v>4</v>
      </c>
      <c r="J101" s="17" t="inlineStr">
        <is>
          <t>Amber/Oriental</t>
        </is>
      </c>
      <c r="K101" s="17" t="inlineStr">
        <is>
          <t>Cinnamon, Nutmeg, Cardamom, Grapefruit</t>
        </is>
      </c>
      <c r="L101" s="17" t="inlineStr">
        <is>
          <t>Lavender, Licorice</t>
        </is>
      </c>
      <c r="M101" s="17" t="inlineStr">
        <is>
          <t>Amber, Sandalwood, Haitian Vetiver</t>
        </is>
      </c>
      <c r="N101" s="17" t="inlineStr">
        <is>
          <t>Masculine</t>
        </is>
      </c>
      <c r="O101" s="17" t="inlineStr">
        <is>
          <t>Opens with cinnamon, nutmeg and cardamom, moves through lavender and licorice, settles into amber and sandalwood. Warm and resinous, glowing rather than shouting. A dependable, everyday men's signature, the most concentrated cut here, built to last all day.</t>
        </is>
      </c>
    </row>
    <row r="102" ht="15" customHeight="1" s="11">
      <c r="A102" s="14" t="inlineStr">
        <is>
          <t>Yves Saint Laurent</t>
        </is>
      </c>
      <c r="B102" s="14" t="inlineStr">
        <is>
          <t>MYSLF</t>
        </is>
      </c>
      <c r="C102" s="14" t="inlineStr">
        <is>
          <t>EDP</t>
        </is>
      </c>
      <c r="D102" s="14" t="inlineStr">
        <is>
          <t>100ml</t>
        </is>
      </c>
      <c r="E102" s="14">
        <f>IF(AND(A102&lt;&gt;"",B102&lt;&gt;"",D102&lt;&gt;""),UPPER(SUBSTITUTE(A102," ","-"))&amp;"-"&amp;UPPER(SUBSTITUTE(B102," ","-"))&amp;"-"&amp;UPPER(SUBSTITUTE(D102," ","-")),"")</f>
        <v/>
      </c>
      <c r="F102" s="14" t="inlineStr">
        <is>
          <t>200100013563</t>
        </is>
      </c>
      <c r="G102" s="15" t="n">
        <v>120</v>
      </c>
      <c r="H102" s="15" t="n">
        <v>66</v>
      </c>
      <c r="I102" s="16" t="n">
        <v>10</v>
      </c>
      <c r="J102" s="17" t="inlineStr">
        <is>
          <t>Floral</t>
        </is>
      </c>
      <c r="K102" s="17" t="inlineStr">
        <is>
          <t>Bergamot, Orange Blossom</t>
        </is>
      </c>
      <c r="L102" s="17" t="inlineStr">
        <is>
          <t>Orange Blossom</t>
        </is>
      </c>
      <c r="M102" s="17" t="inlineStr">
        <is>
          <t>Patchouli, Ambrette, Woody Notes</t>
        </is>
      </c>
      <c r="N102" s="17" t="inlineStr">
        <is>
          <t>Masculine</t>
        </is>
      </c>
      <c r="O102" s="17" t="inlineStr">
        <is>
          <t>Opens with bergamot and orange blossom, moves through orange blossom, settles into patchouli and ambrette. Soft-petaled and radiant, built around a true floral heart. A dependable, everyday men's signature, concentrated enough to carry into the evening.</t>
        </is>
      </c>
    </row>
    <row r="103" ht="15" customHeight="1" s="11">
      <c r="A103" s="14" t="n"/>
      <c r="B103" s="14" t="n"/>
      <c r="C103" s="14" t="n"/>
      <c r="D103" s="14" t="n"/>
      <c r="E103" s="14">
        <f>IF(AND(A103&lt;&gt;"",B103&lt;&gt;"",D103&lt;&gt;""),UPPER(SUBSTITUTE(A103," ","-"))&amp;"-"&amp;UPPER(SUBSTITUTE(B103," ","-"))&amp;"-"&amp;UPPER(SUBSTITUTE(D103," ","-")),"")</f>
        <v/>
      </c>
      <c r="F103" s="14" t="n"/>
      <c r="G103" s="15" t="n"/>
      <c r="H103" s="15" t="n"/>
      <c r="I103" s="16" t="n"/>
      <c r="J103" s="17" t="n"/>
      <c r="K103" s="17" t="n"/>
      <c r="L103" s="17" t="n"/>
      <c r="M103" s="17" t="n"/>
      <c r="N103" s="17" t="n"/>
      <c r="O103" s="17" t="n"/>
    </row>
    <row r="104" ht="15" customHeight="1" s="11">
      <c r="A104" s="14" t="n"/>
      <c r="B104" s="14" t="n"/>
      <c r="C104" s="14" t="n"/>
      <c r="D104" s="14" t="n"/>
      <c r="E104" s="14">
        <f>IF(AND(A104&lt;&gt;"",B104&lt;&gt;"",D104&lt;&gt;""),UPPER(SUBSTITUTE(A104," ","-"))&amp;"-"&amp;UPPER(SUBSTITUTE(B104," ","-"))&amp;"-"&amp;UPPER(SUBSTITUTE(D104," ","-")),"")</f>
        <v/>
      </c>
      <c r="F104" s="14" t="n"/>
      <c r="G104" s="15" t="n"/>
      <c r="H104" s="15" t="n"/>
      <c r="I104" s="16" t="n"/>
      <c r="J104" s="17" t="n"/>
      <c r="K104" s="17" t="n"/>
      <c r="L104" s="17" t="n"/>
      <c r="M104" s="17" t="n"/>
      <c r="N104" s="17" t="n"/>
      <c r="O104" s="17" t="n"/>
    </row>
    <row r="105" ht="15" customHeight="1" s="11">
      <c r="A105" s="14" t="n"/>
      <c r="B105" s="14" t="n"/>
      <c r="C105" s="14" t="n"/>
      <c r="D105" s="14" t="n"/>
      <c r="E105" s="14">
        <f>IF(AND(A105&lt;&gt;"",B105&lt;&gt;"",D105&lt;&gt;""),UPPER(SUBSTITUTE(A105," ","-"))&amp;"-"&amp;UPPER(SUBSTITUTE(B105," ","-"))&amp;"-"&amp;UPPER(SUBSTITUTE(D105," ","-")),"")</f>
        <v/>
      </c>
      <c r="F105" s="14" t="n"/>
      <c r="G105" s="15" t="n"/>
      <c r="H105" s="15" t="n"/>
      <c r="I105" s="16" t="n"/>
      <c r="J105" s="17" t="n"/>
      <c r="K105" s="17" t="n"/>
      <c r="L105" s="17" t="n"/>
      <c r="M105" s="17" t="n"/>
      <c r="N105" s="17" t="n"/>
      <c r="O105" s="17" t="n"/>
    </row>
    <row r="106" ht="15" customHeight="1" s="11">
      <c r="A106" s="14" t="n"/>
      <c r="B106" s="14" t="n"/>
      <c r="C106" s="14" t="n"/>
      <c r="D106" s="14" t="n"/>
      <c r="E106" s="14">
        <f>IF(AND(A106&lt;&gt;"",B106&lt;&gt;"",D106&lt;&gt;""),UPPER(SUBSTITUTE(A106," ","-"))&amp;"-"&amp;UPPER(SUBSTITUTE(B106," ","-"))&amp;"-"&amp;UPPER(SUBSTITUTE(D106," ","-")),"")</f>
        <v/>
      </c>
      <c r="F106" s="14" t="n"/>
      <c r="G106" s="15" t="n"/>
      <c r="H106" s="15" t="n"/>
      <c r="I106" s="16" t="n"/>
      <c r="J106" s="17" t="n"/>
      <c r="K106" s="17" t="n"/>
      <c r="L106" s="17" t="n"/>
      <c r="M106" s="17" t="n"/>
      <c r="N106" s="17" t="n"/>
      <c r="O106" s="17" t="n"/>
    </row>
    <row r="107" ht="15" customHeight="1" s="11">
      <c r="A107" s="14" t="n"/>
      <c r="B107" s="14" t="n"/>
      <c r="C107" s="14" t="n"/>
      <c r="D107" s="14" t="n"/>
      <c r="E107" s="14">
        <f>IF(AND(A107&lt;&gt;"",B107&lt;&gt;"",D107&lt;&gt;""),UPPER(SUBSTITUTE(A107," ","-"))&amp;"-"&amp;UPPER(SUBSTITUTE(B107," ","-"))&amp;"-"&amp;UPPER(SUBSTITUTE(D107," ","-")),"")</f>
        <v/>
      </c>
      <c r="F107" s="14" t="n"/>
      <c r="G107" s="15" t="n"/>
      <c r="H107" s="15" t="n"/>
      <c r="I107" s="16" t="n"/>
      <c r="J107" s="17" t="n"/>
      <c r="K107" s="17" t="n"/>
      <c r="L107" s="17" t="n"/>
      <c r="M107" s="17" t="n"/>
      <c r="N107" s="17" t="n"/>
      <c r="O107" s="17" t="n"/>
    </row>
    <row r="108" ht="15" customHeight="1" s="11">
      <c r="A108" s="14" t="n"/>
      <c r="B108" s="14" t="n"/>
      <c r="C108" s="14" t="n"/>
      <c r="D108" s="14" t="n"/>
      <c r="E108" s="14">
        <f>IF(AND(A108&lt;&gt;"",B108&lt;&gt;"",D108&lt;&gt;""),UPPER(SUBSTITUTE(A108," ","-"))&amp;"-"&amp;UPPER(SUBSTITUTE(B108," ","-"))&amp;"-"&amp;UPPER(SUBSTITUTE(D108," ","-")),"")</f>
        <v/>
      </c>
      <c r="F108" s="14" t="n"/>
      <c r="G108" s="15" t="n"/>
      <c r="H108" s="15" t="n"/>
      <c r="I108" s="16" t="n"/>
      <c r="J108" s="17" t="n"/>
      <c r="K108" s="17" t="n"/>
      <c r="L108" s="17" t="n"/>
      <c r="M108" s="17" t="n"/>
      <c r="N108" s="17" t="n"/>
      <c r="O108" s="17" t="n"/>
    </row>
    <row r="109" ht="15" customHeight="1" s="11">
      <c r="A109" s="14" t="n"/>
      <c r="B109" s="14" t="n"/>
      <c r="C109" s="14" t="n"/>
      <c r="D109" s="14" t="n"/>
      <c r="E109" s="14">
        <f>IF(AND(A109&lt;&gt;"",B109&lt;&gt;"",D109&lt;&gt;""),UPPER(SUBSTITUTE(A109," ","-"))&amp;"-"&amp;UPPER(SUBSTITUTE(B109," ","-"))&amp;"-"&amp;UPPER(SUBSTITUTE(D109," ","-")),"")</f>
        <v/>
      </c>
      <c r="F109" s="14" t="n"/>
      <c r="G109" s="15" t="n"/>
      <c r="H109" s="15" t="n"/>
      <c r="I109" s="16" t="n"/>
      <c r="J109" s="17" t="n"/>
      <c r="K109" s="17" t="n"/>
      <c r="L109" s="17" t="n"/>
      <c r="M109" s="17" t="n"/>
      <c r="N109" s="17" t="n"/>
      <c r="O109" s="17" t="n"/>
    </row>
    <row r="110" ht="15" customHeight="1" s="11">
      <c r="A110" s="14" t="n"/>
      <c r="B110" s="14" t="n"/>
      <c r="C110" s="14" t="n"/>
      <c r="D110" s="14" t="n"/>
      <c r="E110" s="14">
        <f>IF(AND(A110&lt;&gt;"",B110&lt;&gt;"",D110&lt;&gt;""),UPPER(SUBSTITUTE(A110," ","-"))&amp;"-"&amp;UPPER(SUBSTITUTE(B110," ","-"))&amp;"-"&amp;UPPER(SUBSTITUTE(D110," ","-")),"")</f>
        <v/>
      </c>
      <c r="F110" s="14" t="n"/>
      <c r="G110" s="15" t="n"/>
      <c r="H110" s="15" t="n"/>
      <c r="I110" s="16" t="n"/>
      <c r="J110" s="17" t="n"/>
      <c r="K110" s="17" t="n"/>
      <c r="L110" s="17" t="n"/>
      <c r="M110" s="17" t="n"/>
      <c r="N110" s="17" t="n"/>
      <c r="O110" s="17" t="n"/>
    </row>
    <row r="111" ht="15" customHeight="1" s="11">
      <c r="A111" s="14" t="n"/>
      <c r="B111" s="14" t="n"/>
      <c r="C111" s="14" t="n"/>
      <c r="D111" s="14" t="n"/>
      <c r="E111" s="14">
        <f>IF(AND(A111&lt;&gt;"",B111&lt;&gt;"",D111&lt;&gt;""),UPPER(SUBSTITUTE(A111," ","-"))&amp;"-"&amp;UPPER(SUBSTITUTE(B111," ","-"))&amp;"-"&amp;UPPER(SUBSTITUTE(D111," ","-")),"")</f>
        <v/>
      </c>
      <c r="F111" s="14" t="n"/>
      <c r="G111" s="15" t="n"/>
      <c r="H111" s="15" t="n"/>
      <c r="I111" s="16" t="n"/>
      <c r="J111" s="17" t="n"/>
      <c r="K111" s="17" t="n"/>
      <c r="L111" s="17" t="n"/>
      <c r="M111" s="17" t="n"/>
      <c r="N111" s="17" t="n"/>
      <c r="O111" s="17" t="n"/>
    </row>
    <row r="112" ht="15" customHeight="1" s="11">
      <c r="A112" s="14" t="n"/>
      <c r="B112" s="14" t="n"/>
      <c r="C112" s="14" t="n"/>
      <c r="D112" s="14" t="n"/>
      <c r="E112" s="14">
        <f>IF(AND(A112&lt;&gt;"",B112&lt;&gt;"",D112&lt;&gt;""),UPPER(SUBSTITUTE(A112," ","-"))&amp;"-"&amp;UPPER(SUBSTITUTE(B112," ","-"))&amp;"-"&amp;UPPER(SUBSTITUTE(D112," ","-")),"")</f>
        <v/>
      </c>
      <c r="F112" s="14" t="n"/>
      <c r="G112" s="15" t="n"/>
      <c r="H112" s="15" t="n"/>
      <c r="I112" s="16" t="n"/>
      <c r="J112" s="17" t="n"/>
      <c r="K112" s="17" t="n"/>
      <c r="L112" s="17" t="n"/>
      <c r="M112" s="17" t="n"/>
      <c r="N112" s="17" t="n"/>
      <c r="O112" s="17" t="n"/>
    </row>
    <row r="113" ht="15" customHeight="1" s="11">
      <c r="A113" s="14" t="n"/>
      <c r="B113" s="14" t="n"/>
      <c r="C113" s="14" t="n"/>
      <c r="D113" s="14" t="n"/>
      <c r="E113" s="14">
        <f>IF(AND(A113&lt;&gt;"",B113&lt;&gt;"",D113&lt;&gt;""),UPPER(SUBSTITUTE(A113," ","-"))&amp;"-"&amp;UPPER(SUBSTITUTE(B113," ","-"))&amp;"-"&amp;UPPER(SUBSTITUTE(D113," ","-")),"")</f>
        <v/>
      </c>
      <c r="F113" s="14" t="n"/>
      <c r="G113" s="15" t="n"/>
      <c r="H113" s="15" t="n"/>
      <c r="I113" s="16" t="n"/>
      <c r="J113" s="17" t="n"/>
      <c r="K113" s="17" t="n"/>
      <c r="L113" s="17" t="n"/>
      <c r="M113" s="17" t="n"/>
      <c r="N113" s="17" t="n"/>
      <c r="O113" s="17" t="n"/>
    </row>
    <row r="114" ht="15" customHeight="1" s="11">
      <c r="A114" s="14" t="n"/>
      <c r="B114" s="14" t="n"/>
      <c r="C114" s="14" t="n"/>
      <c r="D114" s="14" t="n"/>
      <c r="E114" s="14">
        <f>IF(AND(A114&lt;&gt;"",B114&lt;&gt;"",D114&lt;&gt;""),UPPER(SUBSTITUTE(A114," ","-"))&amp;"-"&amp;UPPER(SUBSTITUTE(B114," ","-"))&amp;"-"&amp;UPPER(SUBSTITUTE(D114," ","-")),"")</f>
        <v/>
      </c>
      <c r="F114" s="14" t="n"/>
      <c r="G114" s="15" t="n"/>
      <c r="H114" s="15" t="n"/>
      <c r="I114" s="16" t="n"/>
      <c r="J114" s="17" t="n"/>
      <c r="K114" s="17" t="n"/>
      <c r="L114" s="17" t="n"/>
      <c r="M114" s="17" t="n"/>
      <c r="N114" s="17" t="n"/>
      <c r="O114" s="17" t="n"/>
    </row>
    <row r="115" ht="15" customHeight="1" s="11">
      <c r="A115" s="14" t="n"/>
      <c r="B115" s="14" t="n"/>
      <c r="C115" s="14" t="n"/>
      <c r="D115" s="14" t="n"/>
      <c r="E115" s="14">
        <f>IF(AND(A115&lt;&gt;"",B115&lt;&gt;"",D115&lt;&gt;""),UPPER(SUBSTITUTE(A115," ","-"))&amp;"-"&amp;UPPER(SUBSTITUTE(B115," ","-"))&amp;"-"&amp;UPPER(SUBSTITUTE(D115," ","-")),"")</f>
        <v/>
      </c>
      <c r="F115" s="14" t="n"/>
      <c r="G115" s="15" t="n"/>
      <c r="H115" s="15" t="n"/>
      <c r="I115" s="16" t="n"/>
      <c r="J115" s="17" t="n"/>
      <c r="K115" s="17" t="n"/>
      <c r="L115" s="17" t="n"/>
      <c r="M115" s="17" t="n"/>
      <c r="N115" s="17" t="n"/>
      <c r="O115" s="17" t="n"/>
    </row>
    <row r="116" ht="15" customHeight="1" s="11">
      <c r="A116" s="14" t="n"/>
      <c r="B116" s="14" t="n"/>
      <c r="C116" s="14" t="n"/>
      <c r="D116" s="14" t="n"/>
      <c r="E116" s="14">
        <f>IF(AND(A116&lt;&gt;"",B116&lt;&gt;"",D116&lt;&gt;""),UPPER(SUBSTITUTE(A116," ","-"))&amp;"-"&amp;UPPER(SUBSTITUTE(B116," ","-"))&amp;"-"&amp;UPPER(SUBSTITUTE(D116," ","-")),"")</f>
        <v/>
      </c>
      <c r="F116" s="14" t="n"/>
      <c r="G116" s="15" t="n"/>
      <c r="H116" s="15" t="n"/>
      <c r="I116" s="16" t="n"/>
      <c r="J116" s="17" t="n"/>
      <c r="K116" s="17" t="n"/>
      <c r="L116" s="17" t="n"/>
      <c r="M116" s="17" t="n"/>
      <c r="N116" s="17" t="n"/>
      <c r="O116" s="17" t="n"/>
    </row>
    <row r="117" ht="15" customHeight="1" s="11">
      <c r="A117" s="14" t="n"/>
      <c r="B117" s="14" t="n"/>
      <c r="C117" s="14" t="n"/>
      <c r="D117" s="14" t="n"/>
      <c r="E117" s="14">
        <f>IF(AND(A117&lt;&gt;"",B117&lt;&gt;"",D117&lt;&gt;""),UPPER(SUBSTITUTE(A117," ","-"))&amp;"-"&amp;UPPER(SUBSTITUTE(B117," ","-"))&amp;"-"&amp;UPPER(SUBSTITUTE(D117," ","-")),"")</f>
        <v/>
      </c>
      <c r="F117" s="14" t="n"/>
      <c r="G117" s="15" t="n"/>
      <c r="H117" s="15" t="n"/>
      <c r="I117" s="16" t="n"/>
      <c r="J117" s="17" t="n"/>
      <c r="K117" s="17" t="n"/>
      <c r="L117" s="17" t="n"/>
      <c r="M117" s="17" t="n"/>
      <c r="N117" s="17" t="n"/>
      <c r="O117" s="17" t="n"/>
    </row>
  </sheetData>
  <autoFilter ref="A2:O2"/>
  <dataValidations count="3">
    <dataValidation sqref="C3:C117" showDropDown="0" showInputMessage="0" showErrorMessage="0" allowBlank="1" type="list" errorStyle="stop" operator="between">
      <formula1>"EDP,EDT,EDC,Parfum,Eau Fraiche,Cologne"</formula1>
      <formula2>0</formula2>
    </dataValidation>
    <dataValidation sqref="J3:J117" showDropDown="0" showInputMessage="0" showErrorMessage="0" allowBlank="1" type="list" errorStyle="stop" operator="between">
      <formula1>"Citrus,Floral,Woody,Amber/Oriental,Fresh/Aquatic,Gourmand,Fougère,Chypre,Aromatic,Green,Leather,Spicy"</formula1>
      <formula2>0</formula2>
    </dataValidation>
    <dataValidation sqref="N3:N117" showDropDown="0" showInputMessage="0" showErrorMessage="0" allowBlank="1" type="list" errorStyle="stop" operator="between">
      <formula1>"Masculine,Feminine,Unisex"</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0" customWidth="1" style="10" min="1" max="1"/>
  </cols>
  <sheetData>
    <row r="1" ht="16.15" customHeight="1" s="11">
      <c r="A1" s="18" t="inlineStr">
        <is>
          <t>Perfume Inventory — 100 sample bestsellers (placeholder data)</t>
        </is>
      </c>
    </row>
    <row r="2" ht="15" customHeight="1" s="11">
      <c r="A2" s="19" t="n"/>
    </row>
    <row r="3" ht="26.85" customHeight="1" s="11">
      <c r="A3" s="19" t="inlineStr">
        <is>
          <t>This is realistic PLACEHOLDER data so we can build and test the Square import now. Replace with the real count when it arrives.</t>
        </is>
      </c>
    </row>
    <row r="4" ht="15" customHeight="1" s="11">
      <c r="A4" s="19" t="n"/>
    </row>
    <row r="5" ht="15" customHeight="1" s="11">
      <c r="A5" s="20" t="inlineStr">
        <is>
          <t>What's real vs. placeholder:</t>
        </is>
      </c>
    </row>
    <row r="6" ht="15" customHeight="1" s="11">
      <c r="A6" s="19" t="inlineStr">
        <is>
          <t xml:space="preserve">   • Brands, names, concentrations, scent families and note pyramids are real product info.</t>
        </is>
      </c>
    </row>
    <row r="7" ht="15" customHeight="1" s="11">
      <c r="A7" s="19" t="inlineStr">
        <is>
          <t xml:space="preserve">   • Prices are approximate street prices — verify against the shop's actual pricing.</t>
        </is>
      </c>
    </row>
    <row r="8" ht="15" customHeight="1" s="11">
      <c r="A8" s="19" t="inlineStr">
        <is>
          <t xml:space="preserve">   • Cost is estimated at ~55% of price — replace with the shop's real cost.</t>
        </is>
      </c>
    </row>
    <row r="9" ht="26.85" customHeight="1" s="11">
      <c r="A9" s="19" t="inlineStr">
        <is>
          <t xml:space="preserve">   • Barcodes are synthetic (200... prefix = the range reserved for in-store use). Swap in real UPCs when counting.</t>
        </is>
      </c>
    </row>
    <row r="10" ht="15" customHeight="1" s="11">
      <c r="A10" s="19" t="inlineStr">
        <is>
          <t xml:space="preserve">   • Quantities are random placeholders.</t>
        </is>
      </c>
    </row>
    <row r="11" ht="15" customHeight="1" s="11">
      <c r="A11" s="19" t="inlineStr">
        <is>
          <t xml:space="preserve">   • Descriptions are auto-generated in a neutral voice — rewrite in the shop's own voice later.</t>
        </is>
      </c>
    </row>
    <row r="12" ht="15" customHeight="1" s="11">
      <c r="A12" s="19" t="n"/>
    </row>
    <row r="13" ht="15" customHeight="1" s="11">
      <c r="A13" s="19" t="inlineStr">
        <is>
          <t>SKU auto-generates as BRAND-NAME-SIZE from Brand, Product Name, and Size. Don't type it.</t>
        </is>
      </c>
    </row>
    <row r="14" ht="15" customHeight="1" s="11">
      <c r="A14" s="19" t="inlineStr">
        <is>
          <t>One row per size. Cream = catalog (goes to Square). Terracotta = scent fields (power recommendations).</t>
        </is>
      </c>
    </row>
    <row r="15" ht="15" customHeight="1" s="11">
      <c r="A15" s="19" t="inlineStr">
        <is>
          <t>15 blank rows are left at the bottom for you to add to.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2026-07-01T17:56:12Z</dcterms:created>
  <dcterms:modified xsi:type="dcterms:W3CDTF">2026-08-07T19:21:12Z</dcterms:modified>
  <cp:revision>0</cp:revision>
</cp:coreProperties>
</file>