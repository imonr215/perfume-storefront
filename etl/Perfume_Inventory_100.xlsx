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ntory" sheetId="1" state="visible" r:id="rId1"/>
    <sheet name="How to fill this in" sheetId="2" state="visible" r:id="rId2"/>
  </sheets>
  <definedNames>
    <definedName name="_xlnm._FilterDatabase" localSheetId="0" hidden="1">'Inventory'!$A$2:$O$2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color rgb="FF7A6A58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B5651D"/>
      <sz val="13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B5651D"/>
        <bgColor rgb="FF7A6A58"/>
      </patternFill>
    </fill>
    <fill>
      <patternFill patternType="solid">
        <fgColor rgb="FFF0E6D8"/>
        <bgColor rgb="FFE6D3C3"/>
      </patternFill>
    </fill>
    <fill>
      <patternFill patternType="solid">
        <fgColor rgb="FFE6D3C3"/>
        <bgColor rgb="FFD9C9B6"/>
      </patternFill>
    </fill>
  </fills>
  <borders count="2">
    <border>
      <left/>
      <right/>
      <top/>
      <bottom/>
      <diagonal/>
    </border>
    <border>
      <left style="thin">
        <color rgb="FFD9C9B6"/>
      </left>
      <right style="thin">
        <color rgb="FFD9C9B6"/>
      </right>
      <top style="thin">
        <color rgb="FFD9C9B6"/>
      </top>
      <bottom style="thin">
        <color rgb="FFD9C9B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B5651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08080"/>
      <rgbColor rgb="FFD9C9B6"/>
      <rgbColor rgb="FF7A6A58"/>
      <rgbColor rgb="FF9999FF"/>
      <rgbColor rgb="FF993366"/>
      <rgbColor rgb="FFF0E6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3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26" customWidth="1" style="10" min="2" max="2"/>
    <col width="14" customWidth="1" style="10" min="3" max="3"/>
    <col width="10" customWidth="1" style="10" min="4" max="4"/>
    <col width="30" customWidth="1" style="10" min="5" max="5"/>
    <col width="16" customWidth="1" style="10" min="6" max="6"/>
    <col width="11" customWidth="1" style="10" min="7" max="8"/>
    <col width="12" customWidth="1" style="10" min="9" max="9"/>
    <col width="16" customWidth="1" style="10" min="10" max="10"/>
    <col width="26" customWidth="1" style="10" min="11" max="13"/>
    <col width="12" customWidth="1" style="10" min="14" max="14"/>
    <col width="46" customWidth="1" style="10" min="15" max="15"/>
  </cols>
  <sheetData>
    <row r="1" ht="15" customHeight="1" s="11">
      <c r="A1" s="12" t="inlineStr">
        <is>
          <t>Catalog fields (go into Square)</t>
        </is>
      </c>
      <c r="J1" s="12" t="inlineStr">
        <is>
          <t>Scent fields (power recommendations)</t>
        </is>
      </c>
    </row>
    <row r="2" ht="30" customHeight="1" s="11">
      <c r="A2" s="13" t="inlineStr">
        <is>
          <t>Brand</t>
        </is>
      </c>
      <c r="B2" s="13" t="inlineStr">
        <is>
          <t>Product Name</t>
        </is>
      </c>
      <c r="C2" s="13" t="inlineStr">
        <is>
          <t>Concentration</t>
        </is>
      </c>
      <c r="D2" s="13" t="inlineStr">
        <is>
          <t>Size</t>
        </is>
      </c>
      <c r="E2" s="13" t="inlineStr">
        <is>
          <t>SKU (auto)</t>
        </is>
      </c>
      <c r="F2" s="13" t="inlineStr">
        <is>
          <t>Barcode / UPC</t>
        </is>
      </c>
      <c r="G2" s="13" t="inlineStr">
        <is>
          <t>Price ($)</t>
        </is>
      </c>
      <c r="H2" s="13" t="inlineStr">
        <is>
          <t>Cost ($)</t>
        </is>
      </c>
      <c r="I2" s="13" t="inlineStr">
        <is>
          <t>Qty on Hand</t>
        </is>
      </c>
      <c r="J2" s="13" t="inlineStr">
        <is>
          <t>Scent Family</t>
        </is>
      </c>
      <c r="K2" s="13" t="inlineStr">
        <is>
          <t>Top Notes</t>
        </is>
      </c>
      <c r="L2" s="13" t="inlineStr">
        <is>
          <t>Heart Notes</t>
        </is>
      </c>
      <c r="M2" s="13" t="inlineStr">
        <is>
          <t>Base Notes</t>
        </is>
      </c>
      <c r="N2" s="13" t="inlineStr">
        <is>
          <t>Gender</t>
        </is>
      </c>
      <c r="O2" s="13" t="inlineStr">
        <is>
          <t>Description (optional)</t>
        </is>
      </c>
    </row>
    <row r="3" ht="15" customHeight="1" s="11">
      <c r="A3" s="14" t="inlineStr">
        <is>
          <t>Dior</t>
        </is>
      </c>
      <c r="B3" s="14" t="inlineStr">
        <is>
          <t>Sauvage</t>
        </is>
      </c>
      <c r="C3" s="14" t="inlineStr">
        <is>
          <t>EDT</t>
        </is>
      </c>
      <c r="D3" s="14" t="inlineStr">
        <is>
          <t>100ml</t>
        </is>
      </c>
      <c r="E3" s="14">
        <f>IF(AND(A3&lt;&gt;"",B3&lt;&gt;"",D3&lt;&gt;""),UPPER(SUBSTITUTE(A3," ","-"))&amp;"-"&amp;UPPER(SUBSTITUTE(B3," ","-"))&amp;"-"&amp;UPPER(SUBSTITUTE(D3," ","-")),"")</f>
        <v/>
      </c>
      <c r="F3" s="14" t="inlineStr">
        <is>
          <t>200100000000</t>
        </is>
      </c>
      <c r="G3" s="15" t="n">
        <v>110</v>
      </c>
      <c r="H3" s="15" t="n">
        <v>61</v>
      </c>
      <c r="I3" s="16" t="n">
        <v>12</v>
      </c>
      <c r="J3" s="17" t="inlineStr">
        <is>
          <t>Aromatic</t>
        </is>
      </c>
      <c r="K3" s="17" t="inlineStr">
        <is>
          <t>Bergamot, Pepper</t>
        </is>
      </c>
      <c r="L3" s="17" t="inlineStr">
        <is>
          <t>Sichuan Pepper, Lavender, Star Anise</t>
        </is>
      </c>
      <c r="M3" s="17" t="inlineStr">
        <is>
          <t>Ambroxan, Cedar, Labdanum</t>
        </is>
      </c>
      <c r="N3" s="17" t="inlineStr">
        <is>
          <t>Masculine</t>
        </is>
      </c>
      <c r="O3" s="17" t="inlineStr">
        <is>
          <t>Opens with bergamot and pepper, moves through sichuan pepper and lavender, settles into ambroxan and cedar. Sharp and green-tinged, built for movement — an easy, no-fuss pick for daily wear, light enough for daytime, with a few hours of wear.</t>
        </is>
      </c>
    </row>
    <row r="4" ht="15" customHeight="1" s="11">
      <c r="A4" s="14" t="inlineStr">
        <is>
          <t>Chanel</t>
        </is>
      </c>
      <c r="B4" s="14" t="inlineStr">
        <is>
          <t>Bleu de Chanel</t>
        </is>
      </c>
      <c r="C4" s="14" t="inlineStr">
        <is>
          <t>EDP</t>
        </is>
      </c>
      <c r="D4" s="14" t="inlineStr">
        <is>
          <t>100ml</t>
        </is>
      </c>
      <c r="E4" s="14">
        <f>IF(AND(A4&lt;&gt;"",B4&lt;&gt;"",D4&lt;&gt;""),UPPER(SUBSTITUTE(A4," ","-"))&amp;"-"&amp;UPPER(SUBSTITUTE(B4," ","-"))&amp;"-"&amp;UPPER(SUBSTITUTE(D4," ","-")),"")</f>
        <v/>
      </c>
      <c r="F4" s="14" t="inlineStr">
        <is>
          <t>200100000137</t>
        </is>
      </c>
      <c r="G4" s="15" t="n">
        <v>135</v>
      </c>
      <c r="H4" s="15" t="n">
        <v>74</v>
      </c>
      <c r="I4" s="16" t="n">
        <v>3</v>
      </c>
      <c r="J4" s="17" t="inlineStr">
        <is>
          <t>Woody</t>
        </is>
      </c>
      <c r="K4" s="17" t="inlineStr">
        <is>
          <t>Grapefruit, Lemon, Mint</t>
        </is>
      </c>
      <c r="L4" s="17" t="inlineStr">
        <is>
          <t>Ginger, Nutmeg, Jasmine</t>
        </is>
      </c>
      <c r="M4" s="17" t="inlineStr">
        <is>
          <t>Incense, Cedar, Sandalwood</t>
        </is>
      </c>
      <c r="N4" s="17" t="inlineStr">
        <is>
          <t>Masculine</t>
        </is>
      </c>
      <c r="O4" s="17" t="inlineStr">
        <is>
          <t>Opens with grapefruit, lemon and mint, moves through ginger and nutmeg, settles into incense and cedar. Smooth and confident, fills a room quietly — an easy, no-fuss pick for daily wear, concentrated enough to carry into the evening.</t>
        </is>
      </c>
    </row>
    <row r="5" ht="15" customHeight="1" s="11">
      <c r="A5" s="14" t="inlineStr">
        <is>
          <t>Creed</t>
        </is>
      </c>
      <c r="B5" s="14" t="inlineStr">
        <is>
          <t>Aventus</t>
        </is>
      </c>
      <c r="C5" s="14" t="inlineStr">
        <is>
          <t>EDP</t>
        </is>
      </c>
      <c r="D5" s="14" t="inlineStr">
        <is>
          <t>100ml</t>
        </is>
      </c>
      <c r="E5" s="14">
        <f>IF(AND(A5&lt;&gt;"",B5&lt;&gt;"",D5&lt;&gt;""),UPPER(SUBSTITUTE(A5," ","-"))&amp;"-"&amp;UPPER(SUBSTITUTE(B5," ","-"))&amp;"-"&amp;UPPER(SUBSTITUTE(D5," ","-")),"")</f>
        <v/>
      </c>
      <c r="F5" s="14" t="inlineStr">
        <is>
          <t>200100000274</t>
        </is>
      </c>
      <c r="G5" s="15" t="n">
        <v>445</v>
      </c>
      <c r="H5" s="15" t="n">
        <v>245</v>
      </c>
      <c r="I5" s="16" t="n">
        <v>2</v>
      </c>
      <c r="J5" s="17" t="inlineStr">
        <is>
          <t>Chypre</t>
        </is>
      </c>
      <c r="K5" s="17" t="inlineStr">
        <is>
          <t>Pineapple, Bergamot, Blackcurrant, Apple</t>
        </is>
      </c>
      <c r="L5" s="17" t="inlineStr">
        <is>
          <t>Birch, Patchouli, Jasmine</t>
        </is>
      </c>
      <c r="M5" s="17" t="inlineStr">
        <is>
          <t>Musk, Oakmoss, Vanilla</t>
        </is>
      </c>
      <c r="N5" s="17" t="inlineStr">
        <is>
          <t>Masculine</t>
        </is>
      </c>
      <c r="O5" s="17" t="inlineStr">
        <is>
          <t>Opens with pineapple, bergamot and blackcurrant, moves through birch and patchouli, settles into musk and oakmoss. Structured and sophisticated, rewards a second sniff — a confident one-bottle-does-it-all choice, concentrated enough to carry into the evening.</t>
        </is>
      </c>
    </row>
    <row r="6" ht="15" customHeight="1" s="11">
      <c r="A6" s="14" t="inlineStr">
        <is>
          <t>Paco Rabanne</t>
        </is>
      </c>
      <c r="B6" s="14" t="inlineStr">
        <is>
          <t>1 Million</t>
        </is>
      </c>
      <c r="C6" s="14" t="inlineStr">
        <is>
          <t>EDT</t>
        </is>
      </c>
      <c r="D6" s="14" t="inlineStr">
        <is>
          <t>100ml</t>
        </is>
      </c>
      <c r="E6" s="14">
        <f>IF(AND(A6&lt;&gt;"",B6&lt;&gt;"",D6&lt;&gt;""),UPPER(SUBSTITUTE(A6," ","-"))&amp;"-"&amp;UPPER(SUBSTITUTE(B6," ","-"))&amp;"-"&amp;UPPER(SUBSTITUTE(D6," ","-")),"")</f>
        <v/>
      </c>
      <c r="F6" s="14" t="inlineStr">
        <is>
          <t>200100000411</t>
        </is>
      </c>
      <c r="G6" s="15" t="n">
        <v>95</v>
      </c>
      <c r="H6" s="15" t="n">
        <v>52</v>
      </c>
      <c r="I6" s="16" t="n">
        <v>13</v>
      </c>
      <c r="J6" s="17" t="inlineStr">
        <is>
          <t>Amber/Oriental</t>
        </is>
      </c>
      <c r="K6" s="17" t="inlineStr">
        <is>
          <t>Grapefruit, Mint, Blood Mandarin</t>
        </is>
      </c>
      <c r="L6" s="17" t="inlineStr">
        <is>
          <t>Rose, Cinnamon, Spices</t>
        </is>
      </c>
      <c r="M6" s="17" t="inlineStr">
        <is>
          <t>Leather, Amber, Woody Notes</t>
        </is>
      </c>
      <c r="N6" s="17" t="inlineStr">
        <is>
          <t>Masculine</t>
        </is>
      </c>
      <c r="O6" s="17" t="inlineStr">
        <is>
          <t>Opens with grapefruit, mint and blood mandarin, moves through rose and cinnamon, settles into leather and amber. Rich and enveloping, built for cooler nights — an easy, no-fuss pick for daily wear, light enough for daytime, with a few hours of wear.</t>
        </is>
      </c>
    </row>
    <row r="7" ht="15" customHeight="1" s="11">
      <c r="A7" s="14" t="inlineStr">
        <is>
          <t>Paco Rabanne</t>
        </is>
      </c>
      <c r="B7" s="14" t="inlineStr">
        <is>
          <t>Invictus</t>
        </is>
      </c>
      <c r="C7" s="14" t="inlineStr">
        <is>
          <t>EDT</t>
        </is>
      </c>
      <c r="D7" s="14" t="inlineStr">
        <is>
          <t>100ml</t>
        </is>
      </c>
      <c r="E7" s="14">
        <f>IF(AND(A7&lt;&gt;"",B7&lt;&gt;"",D7&lt;&gt;""),UPPER(SUBSTITUTE(A7," ","-"))&amp;"-"&amp;UPPER(SUBSTITUTE(B7," ","-"))&amp;"-"&amp;UPPER(SUBSTITUTE(D7," ","-")),"")</f>
        <v/>
      </c>
      <c r="F7" s="14" t="inlineStr">
        <is>
          <t>200100000548</t>
        </is>
      </c>
      <c r="G7" s="15" t="n">
        <v>90</v>
      </c>
      <c r="H7" s="15" t="n">
        <v>50</v>
      </c>
      <c r="I7" s="16" t="n">
        <v>6</v>
      </c>
      <c r="J7" s="17" t="inlineStr">
        <is>
          <t>Aromatic</t>
        </is>
      </c>
      <c r="K7" s="17" t="inlineStr">
        <is>
          <t>Grapefruit, Marine Notes</t>
        </is>
      </c>
      <c r="L7" s="17" t="inlineStr">
        <is>
          <t>Bay Leaf, Jasmine</t>
        </is>
      </c>
      <c r="M7" s="17" t="inlineStr">
        <is>
          <t>Guaiac Wood, Oakmoss, Ambergris</t>
        </is>
      </c>
      <c r="N7" s="17" t="inlineStr">
        <is>
          <t>Masculine</t>
        </is>
      </c>
      <c r="O7" s="17" t="inlineStr">
        <is>
          <t>Opens with grapefruit and marine notes, moves through bay leaf and jasmine, settles into guaiac wood and oakmoss. Sharp and green-tinged, built for movement — an easy, no-fuss pick for daily wear, light enough for daytime, with a few hours of wear.</t>
        </is>
      </c>
    </row>
    <row r="8" ht="15" customHeight="1" s="11">
      <c r="A8" s="14" t="inlineStr">
        <is>
          <t>Versace</t>
        </is>
      </c>
      <c r="B8" s="14" t="inlineStr">
        <is>
          <t>Eros</t>
        </is>
      </c>
      <c r="C8" s="14" t="inlineStr">
        <is>
          <t>EDT</t>
        </is>
      </c>
      <c r="D8" s="14" t="inlineStr">
        <is>
          <t>100ml</t>
        </is>
      </c>
      <c r="E8" s="14">
        <f>IF(AND(A8&lt;&gt;"",B8&lt;&gt;"",D8&lt;&gt;""),UPPER(SUBSTITUTE(A8," ","-"))&amp;"-"&amp;UPPER(SUBSTITUTE(B8," ","-"))&amp;"-"&amp;UPPER(SUBSTITUTE(D8," ","-")),"")</f>
        <v/>
      </c>
      <c r="F8" s="14" t="inlineStr">
        <is>
          <t>200100000685</t>
        </is>
      </c>
      <c r="G8" s="15" t="n">
        <v>85</v>
      </c>
      <c r="H8" s="15" t="n">
        <v>47</v>
      </c>
      <c r="I8" s="16" t="n">
        <v>5</v>
      </c>
      <c r="J8" s="17" t="inlineStr">
        <is>
          <t>Aromatic</t>
        </is>
      </c>
      <c r="K8" s="17" t="inlineStr">
        <is>
          <t>Mint, Green Apple, Lemon</t>
        </is>
      </c>
      <c r="L8" s="17" t="inlineStr">
        <is>
          <t>Tonka Bean, Geranium, Ambroxan</t>
        </is>
      </c>
      <c r="M8" s="17" t="inlineStr">
        <is>
          <t>Madagascar Vanilla, Cedar, Vetiver</t>
        </is>
      </c>
      <c r="N8" s="17" t="inlineStr">
        <is>
          <t>Masculine</t>
        </is>
      </c>
      <c r="O8" s="17" t="inlineStr">
        <is>
          <t>Opens with mint, green apple and lemon, moves through tonka bean and geranium, settles into madagascar vanilla and cedar. Herbal and crisp, with a peppery, energetic edge — a dependable, everyday men's signature, light enough for daytime, with a few hours of wear.</t>
        </is>
      </c>
    </row>
    <row r="9" ht="15" customHeight="1" s="11">
      <c r="A9" s="14" t="inlineStr">
        <is>
          <t>Versace</t>
        </is>
      </c>
      <c r="B9" s="14" t="inlineStr">
        <is>
          <t>Dylan Blue</t>
        </is>
      </c>
      <c r="C9" s="14" t="inlineStr">
        <is>
          <t>EDT</t>
        </is>
      </c>
      <c r="D9" s="14" t="inlineStr">
        <is>
          <t>100ml</t>
        </is>
      </c>
      <c r="E9" s="14">
        <f>IF(AND(A9&lt;&gt;"",B9&lt;&gt;"",D9&lt;&gt;""),UPPER(SUBSTITUTE(A9," ","-"))&amp;"-"&amp;UPPER(SUBSTITUTE(B9," ","-"))&amp;"-"&amp;UPPER(SUBSTITUTE(D9," ","-")),"")</f>
        <v/>
      </c>
      <c r="F9" s="14" t="inlineStr">
        <is>
          <t>200100000822</t>
        </is>
      </c>
      <c r="G9" s="15" t="n">
        <v>80</v>
      </c>
      <c r="H9" s="15" t="n">
        <v>44</v>
      </c>
      <c r="I9" s="16" t="n">
        <v>5</v>
      </c>
      <c r="J9" s="17" t="inlineStr">
        <is>
          <t>Aromatic</t>
        </is>
      </c>
      <c r="K9" s="17" t="inlineStr">
        <is>
          <t>Bergamot, Grapefruit, Fig Leaf</t>
        </is>
      </c>
      <c r="L9" s="17" t="inlineStr">
        <is>
          <t>Violet Leaf, Papyrus, Patchouli</t>
        </is>
      </c>
      <c r="M9" s="17" t="inlineStr">
        <is>
          <t>Musk, Tonka, Saffron</t>
        </is>
      </c>
      <c r="N9" s="17" t="inlineStr">
        <is>
          <t>Masculine</t>
        </is>
      </c>
      <c r="O9" s="17" t="inlineStr">
        <is>
          <t>Opens with bergamot, grapefruit and fig leaf, moves through violet leaf and papyrus, settles into musk and tonka. Brisk and confident, the classic aromatic snap — a confident one-bottle-does-it-all choice, light enough for daytime, with a few hours of wear.</t>
        </is>
      </c>
    </row>
    <row r="10" ht="15" customHeight="1" s="11">
      <c r="A10" s="14" t="inlineStr">
        <is>
          <t>Dior</t>
        </is>
      </c>
      <c r="B10" s="14" t="inlineStr">
        <is>
          <t>Dior Homme Intense</t>
        </is>
      </c>
      <c r="C10" s="14" t="inlineStr">
        <is>
          <t>EDP</t>
        </is>
      </c>
      <c r="D10" s="14" t="inlineStr">
        <is>
          <t>100ml</t>
        </is>
      </c>
      <c r="E10" s="14">
        <f>IF(AND(A10&lt;&gt;"",B10&lt;&gt;"",D10&lt;&gt;""),UPPER(SUBSTITUTE(A10," ","-"))&amp;"-"&amp;UPPER(SUBSTITUTE(B10," ","-"))&amp;"-"&amp;UPPER(SUBSTITUTE(D10," ","-")),"")</f>
        <v/>
      </c>
      <c r="F10" s="14" t="inlineStr">
        <is>
          <t>200100000959</t>
        </is>
      </c>
      <c r="G10" s="15" t="n">
        <v>120</v>
      </c>
      <c r="H10" s="15" t="n">
        <v>66</v>
      </c>
      <c r="I10" s="16" t="n">
        <v>4</v>
      </c>
      <c r="J10" s="17" t="inlineStr">
        <is>
          <t>Woody</t>
        </is>
      </c>
      <c r="K10" s="17" t="inlineStr">
        <is>
          <t>Lavender</t>
        </is>
      </c>
      <c r="L10" s="17" t="inlineStr">
        <is>
          <t>Iris, Ambrette, Pear</t>
        </is>
      </c>
      <c r="M10" s="17" t="inlineStr">
        <is>
          <t>Vetiver, Cedar</t>
        </is>
      </c>
      <c r="N10" s="17" t="inlineStr">
        <is>
          <t>Masculine</t>
        </is>
      </c>
      <c r="O10" s="17" t="inlineStr">
        <is>
          <t>Opens with lavender, moves through iris and ambrette, settles into vetiver and cedar. Smooth and confident, fills a room quietly — an easy, no-fuss pick for daily wear, concentrated enough to carry into the evening.</t>
        </is>
      </c>
    </row>
    <row r="11" ht="15" customHeight="1" s="11">
      <c r="A11" s="14" t="inlineStr">
        <is>
          <t>Giorgio Armani</t>
        </is>
      </c>
      <c r="B11" s="14" t="inlineStr">
        <is>
          <t>Acqua di Gio</t>
        </is>
      </c>
      <c r="C11" s="14" t="inlineStr">
        <is>
          <t>EDT</t>
        </is>
      </c>
      <c r="D11" s="14" t="inlineStr">
        <is>
          <t>100ml</t>
        </is>
      </c>
      <c r="E11" s="14">
        <f>IF(AND(A11&lt;&gt;"",B11&lt;&gt;"",D11&lt;&gt;""),UPPER(SUBSTITUTE(A11," ","-"))&amp;"-"&amp;UPPER(SUBSTITUTE(B11," ","-"))&amp;"-"&amp;UPPER(SUBSTITUTE(D11," ","-")),"")</f>
        <v/>
      </c>
      <c r="F11" s="14" t="inlineStr">
        <is>
          <t>200100001096</t>
        </is>
      </c>
      <c r="G11" s="15" t="n">
        <v>85</v>
      </c>
      <c r="H11" s="15" t="n">
        <v>47</v>
      </c>
      <c r="I11" s="16" t="n">
        <v>13</v>
      </c>
      <c r="J11" s="17" t="inlineStr">
        <is>
          <t>Fresh/Aquatic</t>
        </is>
      </c>
      <c r="K11" s="17" t="inlineStr">
        <is>
          <t>Bergamot, Neroli, Green Tangerine</t>
        </is>
      </c>
      <c r="L11" s="17" t="inlineStr">
        <is>
          <t>Jasmine, Sea Notes, Rosemary</t>
        </is>
      </c>
      <c r="M11" s="17" t="inlineStr">
        <is>
          <t>Patchouli, Cedar, Musk</t>
        </is>
      </c>
      <c r="N11" s="17" t="inlineStr">
        <is>
          <t>Masculine</t>
        </is>
      </c>
      <c r="O11" s="17" t="inlineStr">
        <is>
          <t>Opens with bergamot, neroli and green tangerine, moves through jasmine and sea notes, settles into patchouli and cedar. Clean and breezy, the fragrance equivalent of an open window — an easy, no-fuss pick for daily wear, light enough for daytime, with a few hours of wear.</t>
        </is>
      </c>
    </row>
    <row r="12" ht="15" customHeight="1" s="11">
      <c r="A12" s="14" t="inlineStr">
        <is>
          <t>Giorgio Armani</t>
        </is>
      </c>
      <c r="B12" s="14" t="inlineStr">
        <is>
          <t>Acqua di Gio Profumo</t>
        </is>
      </c>
      <c r="C12" s="14" t="inlineStr">
        <is>
          <t>EDP</t>
        </is>
      </c>
      <c r="D12" s="14" t="inlineStr">
        <is>
          <t>75ml</t>
        </is>
      </c>
      <c r="E12" s="14">
        <f>IF(AND(A12&lt;&gt;"",B12&lt;&gt;"",D12&lt;&gt;""),UPPER(SUBSTITUTE(A12," ","-"))&amp;"-"&amp;UPPER(SUBSTITUTE(B12," ","-"))&amp;"-"&amp;UPPER(SUBSTITUTE(D12," ","-")),"")</f>
        <v/>
      </c>
      <c r="F12" s="14" t="inlineStr">
        <is>
          <t>200100001233</t>
        </is>
      </c>
      <c r="G12" s="15" t="n">
        <v>110</v>
      </c>
      <c r="H12" s="15" t="n">
        <v>61</v>
      </c>
      <c r="I12" s="16" t="n">
        <v>3</v>
      </c>
      <c r="J12" s="17" t="inlineStr">
        <is>
          <t>Fresh/Aquatic</t>
        </is>
      </c>
      <c r="K12" s="17" t="inlineStr">
        <is>
          <t>Bergamot, Sea Notes</t>
        </is>
      </c>
      <c r="L12" s="17" t="inlineStr">
        <is>
          <t>Geranium, Sage, Rosemary</t>
        </is>
      </c>
      <c r="M12" s="17" t="inlineStr">
        <is>
          <t>Incense, Patchouli</t>
        </is>
      </c>
      <c r="N12" s="17" t="inlineStr">
        <is>
          <t>Masculine</t>
        </is>
      </c>
      <c r="O12" s="17" t="inlineStr">
        <is>
          <t>Opens with bergamot and sea notes, moves through geranium and sage, settles into incense and patchouli. Cool and marine, like sea spray on skin — a dependable, everyday men's signature, concentrated enough to carry into the evening.</t>
        </is>
      </c>
    </row>
    <row r="13" ht="15" customHeight="1" s="11">
      <c r="A13" s="14" t="inlineStr">
        <is>
          <t>Yves Saint Laurent</t>
        </is>
      </c>
      <c r="B13" s="14" t="inlineStr">
        <is>
          <t>La Nuit de L'Homme</t>
        </is>
      </c>
      <c r="C13" s="14" t="inlineStr">
        <is>
          <t>EDT</t>
        </is>
      </c>
      <c r="D13" s="14" t="inlineStr">
        <is>
          <t>100ml</t>
        </is>
      </c>
      <c r="E13" s="14">
        <f>IF(AND(A13&lt;&gt;"",B13&lt;&gt;"",D13&lt;&gt;""),UPPER(SUBSTITUTE(A13," ","-"))&amp;"-"&amp;UPPER(SUBSTITUTE(B13," ","-"))&amp;"-"&amp;UPPER(SUBSTITUTE(D13," ","-")),"")</f>
        <v/>
      </c>
      <c r="F13" s="14" t="inlineStr">
        <is>
          <t>200100001370</t>
        </is>
      </c>
      <c r="G13" s="15" t="n">
        <v>95</v>
      </c>
      <c r="H13" s="15" t="n">
        <v>52</v>
      </c>
      <c r="I13" s="16" t="n">
        <v>12</v>
      </c>
      <c r="J13" s="17" t="inlineStr">
        <is>
          <t>Amber/Oriental</t>
        </is>
      </c>
      <c r="K13" s="17" t="inlineStr">
        <is>
          <t>Cardamom, Bergamot</t>
        </is>
      </c>
      <c r="L13" s="17" t="inlineStr">
        <is>
          <t>Lavender, Cedar, Cumin</t>
        </is>
      </c>
      <c r="M13" s="17" t="inlineStr">
        <is>
          <t>Vetiver, Coumarin</t>
        </is>
      </c>
      <c r="N13" s="17" t="inlineStr">
        <is>
          <t>Masculine</t>
        </is>
      </c>
      <c r="O13" s="17" t="inlineStr">
        <is>
          <t>Opens with cardamom and bergamot, moves through lavender and cedar, settles into vetiver and coumarin. Spiced and sensual, the kind of scent people lean in for — a confident one-bottle-does-it-all choice, light enough for daytime, with a few hours of wear.</t>
        </is>
      </c>
    </row>
    <row r="14" ht="15" customHeight="1" s="11">
      <c r="A14" s="14" t="inlineStr">
        <is>
          <t>Yves Saint Laurent</t>
        </is>
      </c>
      <c r="B14" s="14" t="inlineStr">
        <is>
          <t>Y</t>
        </is>
      </c>
      <c r="C14" s="14" t="inlineStr">
        <is>
          <t>EDP</t>
        </is>
      </c>
      <c r="D14" s="14" t="inlineStr">
        <is>
          <t>100ml</t>
        </is>
      </c>
      <c r="E14" s="14">
        <f>IF(AND(A14&lt;&gt;"",B14&lt;&gt;"",D14&lt;&gt;""),UPPER(SUBSTITUTE(A14," ","-"))&amp;"-"&amp;UPPER(SUBSTITUTE(B14," ","-"))&amp;"-"&amp;UPPER(SUBSTITUTE(D14," ","-")),"")</f>
        <v/>
      </c>
      <c r="F14" s="14" t="inlineStr">
        <is>
          <t>200100001507</t>
        </is>
      </c>
      <c r="G14" s="15" t="n">
        <v>100</v>
      </c>
      <c r="H14" s="15" t="n">
        <v>55</v>
      </c>
      <c r="I14" s="16" t="n">
        <v>13</v>
      </c>
      <c r="J14" s="17" t="inlineStr">
        <is>
          <t>Aromatic</t>
        </is>
      </c>
      <c r="K14" s="17" t="inlineStr">
        <is>
          <t>Bergamot, Ginger, Sage</t>
        </is>
      </c>
      <c r="L14" s="17" t="inlineStr">
        <is>
          <t>Juniper, Geranium, Sage</t>
        </is>
      </c>
      <c r="M14" s="17" t="inlineStr">
        <is>
          <t>Amberwood, Tonka, Cedar</t>
        </is>
      </c>
      <c r="N14" s="17" t="inlineStr">
        <is>
          <t>Masculine</t>
        </is>
      </c>
      <c r="O14" s="17" t="inlineStr">
        <is>
          <t>Opens with bergamot, ginger and sage, moves through juniper and geranium, settles into amberwood and tonka. Sharp and green-tinged, built for movement — an easy, no-fuss pick for daily wear, concentrated enough to carry into the evening.</t>
        </is>
      </c>
    </row>
    <row r="15" ht="15" customHeight="1" s="11">
      <c r="A15" s="14" t="inlineStr">
        <is>
          <t>Jean Paul Gaultier</t>
        </is>
      </c>
      <c r="B15" s="14" t="inlineStr">
        <is>
          <t>Le Male</t>
        </is>
      </c>
      <c r="C15" s="14" t="inlineStr">
        <is>
          <t>EDT</t>
        </is>
      </c>
      <c r="D15" s="14" t="inlineStr">
        <is>
          <t>100ml</t>
        </is>
      </c>
      <c r="E15" s="14">
        <f>IF(AND(A15&lt;&gt;"",B15&lt;&gt;"",D15&lt;&gt;""),UPPER(SUBSTITUTE(A15," ","-"))&amp;"-"&amp;UPPER(SUBSTITUTE(B15," ","-"))&amp;"-"&amp;UPPER(SUBSTITUTE(D15," ","-")),"")</f>
        <v/>
      </c>
      <c r="F15" s="14" t="inlineStr">
        <is>
          <t>200100001644</t>
        </is>
      </c>
      <c r="G15" s="15" t="n">
        <v>85</v>
      </c>
      <c r="H15" s="15" t="n">
        <v>47</v>
      </c>
      <c r="I15" s="16" t="n">
        <v>10</v>
      </c>
      <c r="J15" s="17" t="inlineStr">
        <is>
          <t>Fougère</t>
        </is>
      </c>
      <c r="K15" s="17" t="inlineStr">
        <is>
          <t>Mint, Lavender, Bergamot</t>
        </is>
      </c>
      <c r="L15" s="17" t="inlineStr">
        <is>
          <t>Cinnamon, Cumin, Orange Blossom</t>
        </is>
      </c>
      <c r="M15" s="17" t="inlineStr">
        <is>
          <t>Vanilla, Tonka, Sandalwood</t>
        </is>
      </c>
      <c r="N15" s="17" t="inlineStr">
        <is>
          <t>Masculine</t>
        </is>
      </c>
      <c r="O15" s="17" t="inlineStr">
        <is>
          <t>Opens with mint, lavender and bergamot, moves through cinnamon and cumin, settles into vanilla and tonka. Crisp and herbal with a soapy, clean-shaven finish — a confident one-bottle-does-it-all choice, light enough for daytime, with a few hours of wear.</t>
        </is>
      </c>
    </row>
    <row r="16" ht="15" customHeight="1" s="11">
      <c r="A16" s="14" t="inlineStr">
        <is>
          <t>Jean Paul Gaultier</t>
        </is>
      </c>
      <c r="B16" s="14" t="inlineStr">
        <is>
          <t>Le Male Le Parfum</t>
        </is>
      </c>
      <c r="C16" s="14" t="inlineStr">
        <is>
          <t>EDP</t>
        </is>
      </c>
      <c r="D16" s="14" t="inlineStr">
        <is>
          <t>100ml</t>
        </is>
      </c>
      <c r="E16" s="14">
        <f>IF(AND(A16&lt;&gt;"",B16&lt;&gt;"",D16&lt;&gt;""),UPPER(SUBSTITUTE(A16," ","-"))&amp;"-"&amp;UPPER(SUBSTITUTE(B16," ","-"))&amp;"-"&amp;UPPER(SUBSTITUTE(D16," ","-")),"")</f>
        <v/>
      </c>
      <c r="F16" s="14" t="inlineStr">
        <is>
          <t>200100001781</t>
        </is>
      </c>
      <c r="G16" s="15" t="n">
        <v>110</v>
      </c>
      <c r="H16" s="15" t="n">
        <v>61</v>
      </c>
      <c r="I16" s="16" t="n">
        <v>3</v>
      </c>
      <c r="J16" s="17" t="inlineStr">
        <is>
          <t>Amber/Oriental</t>
        </is>
      </c>
      <c r="K16" s="17" t="inlineStr">
        <is>
          <t>Cardamom, Mint</t>
        </is>
      </c>
      <c r="L16" s="17" t="inlineStr">
        <is>
          <t>Lavender</t>
        </is>
      </c>
      <c r="M16" s="17" t="inlineStr">
        <is>
          <t>Vanilla, Tonka Bean</t>
        </is>
      </c>
      <c r="N16" s="17" t="inlineStr">
        <is>
          <t>Masculine</t>
        </is>
      </c>
      <c r="O16" s="17" t="inlineStr">
        <is>
          <t>Opens with cardamom and mint, moves through lavender, settles into vanilla and tonka bean. Warm and resinous, glowing rather than shouting — a dependable, everyday men's signature, concentrated enough to carry into the evening.</t>
        </is>
      </c>
    </row>
    <row r="17" ht="15" customHeight="1" s="11">
      <c r="A17" s="14" t="inlineStr">
        <is>
          <t>Prada</t>
        </is>
      </c>
      <c r="B17" s="14" t="inlineStr">
        <is>
          <t>Luna Rossa Carbon</t>
        </is>
      </c>
      <c r="C17" s="14" t="inlineStr">
        <is>
          <t>EDT</t>
        </is>
      </c>
      <c r="D17" s="14" t="inlineStr">
        <is>
          <t>100ml</t>
        </is>
      </c>
      <c r="E17" s="14">
        <f>IF(AND(A17&lt;&gt;"",B17&lt;&gt;"",D17&lt;&gt;""),UPPER(SUBSTITUTE(A17," ","-"))&amp;"-"&amp;UPPER(SUBSTITUTE(B17," ","-"))&amp;"-"&amp;UPPER(SUBSTITUTE(D17," ","-")),"")</f>
        <v/>
      </c>
      <c r="F17" s="14" t="inlineStr">
        <is>
          <t>200100001918</t>
        </is>
      </c>
      <c r="G17" s="15" t="n">
        <v>95</v>
      </c>
      <c r="H17" s="15" t="n">
        <v>52</v>
      </c>
      <c r="I17" s="16" t="n">
        <v>11</v>
      </c>
      <c r="J17" s="17" t="inlineStr">
        <is>
          <t>Aromatic</t>
        </is>
      </c>
      <c r="K17" s="17" t="inlineStr">
        <is>
          <t>Bergamot, Pepper</t>
        </is>
      </c>
      <c r="L17" s="17" t="inlineStr">
        <is>
          <t>Lavender, Coumarin</t>
        </is>
      </c>
      <c r="M17" s="17" t="inlineStr">
        <is>
          <t>Ambroxan, Patchouli, Metallic Notes</t>
        </is>
      </c>
      <c r="N17" s="17" t="inlineStr">
        <is>
          <t>Masculine</t>
        </is>
      </c>
      <c r="O17" s="17" t="inlineStr">
        <is>
          <t>Opens with bergamot and pepper, moves through lavender and coumarin, settles into ambroxan and patchouli. Sharp and green-tinged, built for movement — an easy, no-fuss pick for daily wear, light enough for daytime, with a few hours of wear.</t>
        </is>
      </c>
    </row>
    <row r="18" ht="15" customHeight="1" s="11">
      <c r="A18" s="14" t="inlineStr">
        <is>
          <t>Montblanc</t>
        </is>
      </c>
      <c r="B18" s="14" t="inlineStr">
        <is>
          <t>Explorer</t>
        </is>
      </c>
      <c r="C18" s="14" t="inlineStr">
        <is>
          <t>EDP</t>
        </is>
      </c>
      <c r="D18" s="14" t="inlineStr">
        <is>
          <t>100ml</t>
        </is>
      </c>
      <c r="E18" s="14">
        <f>IF(AND(A18&lt;&gt;"",B18&lt;&gt;"",D18&lt;&gt;""),UPPER(SUBSTITUTE(A18," ","-"))&amp;"-"&amp;UPPER(SUBSTITUTE(B18," ","-"))&amp;"-"&amp;UPPER(SUBSTITUTE(D18," ","-")),"")</f>
        <v/>
      </c>
      <c r="F18" s="14" t="inlineStr">
        <is>
          <t>200100002055</t>
        </is>
      </c>
      <c r="G18" s="15" t="n">
        <v>85</v>
      </c>
      <c r="H18" s="15" t="n">
        <v>47</v>
      </c>
      <c r="I18" s="16" t="n">
        <v>8</v>
      </c>
      <c r="J18" s="17" t="inlineStr">
        <is>
          <t>Woody</t>
        </is>
      </c>
      <c r="K18" s="17" t="inlineStr">
        <is>
          <t>Bergamot, Pink Pepper, Clary Sage</t>
        </is>
      </c>
      <c r="L18" s="17" t="inlineStr">
        <is>
          <t>Leather, Vetiver</t>
        </is>
      </c>
      <c r="M18" s="17" t="inlineStr">
        <is>
          <t>Patchouli, Ambroxan, Cacao</t>
        </is>
      </c>
      <c r="N18" s="17" t="inlineStr">
        <is>
          <t>Masculine</t>
        </is>
      </c>
      <c r="O18" s="17" t="inlineStr">
        <is>
          <t>Opens with bergamot, pink pepper and clary sage, moves through leather and vetiver, settles into patchouli and ambroxan. Smooth and confident, fills a room quietly — an easy, no-fuss pick for daily wear, concentrated enough to carry into the evening.</t>
        </is>
      </c>
    </row>
    <row r="19" ht="15" customHeight="1" s="11">
      <c r="A19" s="14" t="inlineStr">
        <is>
          <t>Montblanc</t>
        </is>
      </c>
      <c r="B19" s="14" t="inlineStr">
        <is>
          <t>Legend</t>
        </is>
      </c>
      <c r="C19" s="14" t="inlineStr">
        <is>
          <t>EDT</t>
        </is>
      </c>
      <c r="D19" s="14" t="inlineStr">
        <is>
          <t>100ml</t>
        </is>
      </c>
      <c r="E19" s="14">
        <f>IF(AND(A19&lt;&gt;"",B19&lt;&gt;"",D19&lt;&gt;""),UPPER(SUBSTITUTE(A19," ","-"))&amp;"-"&amp;UPPER(SUBSTITUTE(B19," ","-"))&amp;"-"&amp;UPPER(SUBSTITUTE(D19," ","-")),"")</f>
        <v/>
      </c>
      <c r="F19" s="14" t="inlineStr">
        <is>
          <t>200100002192</t>
        </is>
      </c>
      <c r="G19" s="15" t="n">
        <v>75</v>
      </c>
      <c r="H19" s="15" t="n">
        <v>41</v>
      </c>
      <c r="I19" s="16" t="n">
        <v>2</v>
      </c>
      <c r="J19" s="17" t="inlineStr">
        <is>
          <t>Fougère</t>
        </is>
      </c>
      <c r="K19" s="17" t="inlineStr">
        <is>
          <t>Bergamot, Lavender, Pineapple</t>
        </is>
      </c>
      <c r="L19" s="17" t="inlineStr">
        <is>
          <t>Red Apple, Rose, Geranium</t>
        </is>
      </c>
      <c r="M19" s="17" t="inlineStr">
        <is>
          <t>Tonka, Sandalwood, Oakmoss</t>
        </is>
      </c>
      <c r="N19" s="17" t="inlineStr">
        <is>
          <t>Masculine</t>
        </is>
      </c>
      <c r="O19" s="17" t="inlineStr">
        <is>
          <t>Opens with bergamot, lavender and pineapple, moves through red apple and rose, settles into tonka and sandalwood. Crisp and herbal with a soapy, clean-shaven finish — a confident one-bottle-does-it-all choice, light enough for daytime, with a few hours of wear.</t>
        </is>
      </c>
    </row>
    <row r="20" ht="15" customHeight="1" s="11">
      <c r="A20" s="14" t="inlineStr">
        <is>
          <t>Azzaro</t>
        </is>
      </c>
      <c r="B20" s="14" t="inlineStr">
        <is>
          <t>Chrome</t>
        </is>
      </c>
      <c r="C20" s="14" t="inlineStr">
        <is>
          <t>EDT</t>
        </is>
      </c>
      <c r="D20" s="14" t="inlineStr">
        <is>
          <t>100ml</t>
        </is>
      </c>
      <c r="E20" s="14">
        <f>IF(AND(A20&lt;&gt;"",B20&lt;&gt;"",D20&lt;&gt;""),UPPER(SUBSTITUTE(A20," ","-"))&amp;"-"&amp;UPPER(SUBSTITUTE(B20," ","-"))&amp;"-"&amp;UPPER(SUBSTITUTE(D20," ","-")),"")</f>
        <v/>
      </c>
      <c r="F20" s="14" t="inlineStr">
        <is>
          <t>200100002329</t>
        </is>
      </c>
      <c r="G20" s="15" t="n">
        <v>70</v>
      </c>
      <c r="H20" s="15" t="n">
        <v>38</v>
      </c>
      <c r="I20" s="16" t="n">
        <v>2</v>
      </c>
      <c r="J20" s="17" t="inlineStr">
        <is>
          <t>Citrus</t>
        </is>
      </c>
      <c r="K20" s="17" t="inlineStr">
        <is>
          <t>Lemon, Bergamot, Pineapple</t>
        </is>
      </c>
      <c r="L20" s="17" t="inlineStr">
        <is>
          <t>Jasmine, Cyclamen, Coriander</t>
        </is>
      </c>
      <c r="M20" s="17" t="inlineStr">
        <is>
          <t>Musk, Oakmoss, Sandalwood</t>
        </is>
      </c>
      <c r="N20" s="17" t="inlineStr">
        <is>
          <t>Masculine</t>
        </is>
      </c>
      <c r="O20" s="17" t="inlineStr">
        <is>
          <t>Opens with lemon, bergamot and pineapple, moves through jasmine and cyclamen, settles into musk and oakmoss. Sunlit and clean, never heavy — a confident one-bottle-does-it-all choice, light enough for daytime, with a few hours of wear.</t>
        </is>
      </c>
    </row>
    <row r="21" ht="15" customHeight="1" s="11">
      <c r="A21" s="14" t="inlineStr">
        <is>
          <t>Azzaro</t>
        </is>
      </c>
      <c r="B21" s="14" t="inlineStr">
        <is>
          <t>Wanted</t>
        </is>
      </c>
      <c r="C21" s="14" t="inlineStr">
        <is>
          <t>EDT</t>
        </is>
      </c>
      <c r="D21" s="14" t="inlineStr">
        <is>
          <t>100ml</t>
        </is>
      </c>
      <c r="E21" s="14">
        <f>IF(AND(A21&lt;&gt;"",B21&lt;&gt;"",D21&lt;&gt;""),UPPER(SUBSTITUTE(A21," ","-"))&amp;"-"&amp;UPPER(SUBSTITUTE(B21," ","-"))&amp;"-"&amp;UPPER(SUBSTITUTE(D21," ","-")),"")</f>
        <v/>
      </c>
      <c r="F21" s="14" t="inlineStr">
        <is>
          <t>200100002466</t>
        </is>
      </c>
      <c r="G21" s="15" t="n">
        <v>85</v>
      </c>
      <c r="H21" s="15" t="n">
        <v>47</v>
      </c>
      <c r="I21" s="16" t="n">
        <v>3</v>
      </c>
      <c r="J21" s="17" t="inlineStr">
        <is>
          <t>Amber/Oriental</t>
        </is>
      </c>
      <c r="K21" s="17" t="inlineStr">
        <is>
          <t>Lemon, Ginger, Mint</t>
        </is>
      </c>
      <c r="L21" s="17" t="inlineStr">
        <is>
          <t>Cardamom, Lavender, Vetiver</t>
        </is>
      </c>
      <c r="M21" s="17" t="inlineStr">
        <is>
          <t>Tonka, Amberwood, Vetiver</t>
        </is>
      </c>
      <c r="N21" s="17" t="inlineStr">
        <is>
          <t>Masculine</t>
        </is>
      </c>
      <c r="O21" s="17" t="inlineStr">
        <is>
          <t>Opens with lemon, ginger and mint, moves through cardamom and lavender, settles into tonka and amberwood. Rich and enveloping, built for cooler nights — an easy, no-fuss pick for daily wear, light enough for daytime, with a few hours of wear.</t>
        </is>
      </c>
    </row>
    <row r="22" ht="15" customHeight="1" s="11">
      <c r="A22" s="14" t="inlineStr">
        <is>
          <t>Carolina Herrera</t>
        </is>
      </c>
      <c r="B22" s="14" t="inlineStr">
        <is>
          <t>Bad Boy</t>
        </is>
      </c>
      <c r="C22" s="14" t="inlineStr">
        <is>
          <t>EDT</t>
        </is>
      </c>
      <c r="D22" s="14" t="inlineStr">
        <is>
          <t>100ml</t>
        </is>
      </c>
      <c r="E22" s="14">
        <f>IF(AND(A22&lt;&gt;"",B22&lt;&gt;"",D22&lt;&gt;""),UPPER(SUBSTITUTE(A22," ","-"))&amp;"-"&amp;UPPER(SUBSTITUTE(B22," ","-"))&amp;"-"&amp;UPPER(SUBSTITUTE(D22," ","-")),"")</f>
        <v/>
      </c>
      <c r="F22" s="14" t="inlineStr">
        <is>
          <t>200100002603</t>
        </is>
      </c>
      <c r="G22" s="15" t="n">
        <v>95</v>
      </c>
      <c r="H22" s="15" t="n">
        <v>52</v>
      </c>
      <c r="I22" s="16" t="n">
        <v>5</v>
      </c>
      <c r="J22" s="17" t="inlineStr">
        <is>
          <t>Amber/Oriental</t>
        </is>
      </c>
      <c r="K22" s="17" t="inlineStr">
        <is>
          <t>Bergamot, White Pepper</t>
        </is>
      </c>
      <c r="L22" s="17" t="inlineStr">
        <is>
          <t>Cedar, Sage</t>
        </is>
      </c>
      <c r="M22" s="17" t="inlineStr">
        <is>
          <t>Tonka, Cacao, Amber</t>
        </is>
      </c>
      <c r="N22" s="17" t="inlineStr">
        <is>
          <t>Masculine</t>
        </is>
      </c>
      <c r="O22" s="17" t="inlineStr">
        <is>
          <t>Opens with bergamot and white pepper, moves through cedar and sage, settles into tonka and cacao. Spiced and sensual, the kind of scent people lean in for — a confident one-bottle-does-it-all choice, light enough for daytime, with a few hours of wear.</t>
        </is>
      </c>
    </row>
    <row r="23" ht="15" customHeight="1" s="11">
      <c r="A23" s="14" t="inlineStr">
        <is>
          <t>Carolina Herrera</t>
        </is>
      </c>
      <c r="B23" s="14" t="inlineStr">
        <is>
          <t>212 VIP Men</t>
        </is>
      </c>
      <c r="C23" s="14" t="inlineStr">
        <is>
          <t>EDT</t>
        </is>
      </c>
      <c r="D23" s="14" t="inlineStr">
        <is>
          <t>100ml</t>
        </is>
      </c>
      <c r="E23" s="14">
        <f>IF(AND(A23&lt;&gt;"",B23&lt;&gt;"",D23&lt;&gt;""),UPPER(SUBSTITUTE(A23," ","-"))&amp;"-"&amp;UPPER(SUBSTITUTE(B23," ","-"))&amp;"-"&amp;UPPER(SUBSTITUTE(D23," ","-")),"")</f>
        <v/>
      </c>
      <c r="F23" s="14" t="inlineStr">
        <is>
          <t>200100002740</t>
        </is>
      </c>
      <c r="G23" s="15" t="n">
        <v>92</v>
      </c>
      <c r="H23" s="15" t="n">
        <v>51</v>
      </c>
      <c r="I23" s="16" t="n">
        <v>5</v>
      </c>
      <c r="J23" s="17" t="inlineStr">
        <is>
          <t>Amber/Oriental</t>
        </is>
      </c>
      <c r="K23" s="17" t="inlineStr">
        <is>
          <t>Lime, Passion Fruit, Pepper</t>
        </is>
      </c>
      <c r="L23" s="17" t="inlineStr">
        <is>
          <t>Vodka, Ginger</t>
        </is>
      </c>
      <c r="M23" s="17" t="inlineStr">
        <is>
          <t>Amber, Leather, Musk</t>
        </is>
      </c>
      <c r="N23" s="17" t="inlineStr">
        <is>
          <t>Masculine</t>
        </is>
      </c>
      <c r="O23" s="17" t="inlineStr">
        <is>
          <t>Opens with lime, passion fruit and pepper, moves through vodka and ginger, settles into amber and leather. Rich and enveloping, built for cooler nights — an easy, no-fuss pick for daily wear, light enough for daytime, with a few hours of wear.</t>
        </is>
      </c>
    </row>
    <row r="24" ht="15" customHeight="1" s="11">
      <c r="A24" s="14" t="inlineStr">
        <is>
          <t>Dolce &amp; Gabbana</t>
        </is>
      </c>
      <c r="B24" s="14" t="inlineStr">
        <is>
          <t>The One for Men</t>
        </is>
      </c>
      <c r="C24" s="14" t="inlineStr">
        <is>
          <t>EDT</t>
        </is>
      </c>
      <c r="D24" s="14" t="inlineStr">
        <is>
          <t>100ml</t>
        </is>
      </c>
      <c r="E24" s="14">
        <f>IF(AND(A24&lt;&gt;"",B24&lt;&gt;"",D24&lt;&gt;""),UPPER(SUBSTITUTE(A24," ","-"))&amp;"-"&amp;UPPER(SUBSTITUTE(B24," ","-"))&amp;"-"&amp;UPPER(SUBSTITUTE(D24," ","-")),"")</f>
        <v/>
      </c>
      <c r="F24" s="14" t="inlineStr">
        <is>
          <t>200100002877</t>
        </is>
      </c>
      <c r="G24" s="15" t="n">
        <v>95</v>
      </c>
      <c r="H24" s="15" t="n">
        <v>52</v>
      </c>
      <c r="I24" s="16" t="n">
        <v>10</v>
      </c>
      <c r="J24" s="17" t="inlineStr">
        <is>
          <t>Amber/Oriental</t>
        </is>
      </c>
      <c r="K24" s="17" t="inlineStr">
        <is>
          <t>Grapefruit, Coriander, Basil</t>
        </is>
      </c>
      <c r="L24" s="17" t="inlineStr">
        <is>
          <t>Cardamom, Ginger, Orange Blossom</t>
        </is>
      </c>
      <c r="M24" s="17" t="inlineStr">
        <is>
          <t>Tobacco, Amber, Cedar</t>
        </is>
      </c>
      <c r="N24" s="17" t="inlineStr">
        <is>
          <t>Masculine</t>
        </is>
      </c>
      <c r="O24" s="17" t="inlineStr">
        <is>
          <t>Opens with grapefruit, coriander and basil, moves through cardamom and ginger, settles into tobacco and amber. Spiced and sensual, the kind of scent people lean in for — a confident one-bottle-does-it-all choice, light enough for daytime, with a few hours of wear.</t>
        </is>
      </c>
    </row>
    <row r="25" ht="15" customHeight="1" s="11">
      <c r="A25" s="14" t="inlineStr">
        <is>
          <t>Dolce &amp; Gabbana</t>
        </is>
      </c>
      <c r="B25" s="14" t="inlineStr">
        <is>
          <t>Light Blue Pour Homme</t>
        </is>
      </c>
      <c r="C25" s="14" t="inlineStr">
        <is>
          <t>EDT</t>
        </is>
      </c>
      <c r="D25" s="14" t="inlineStr">
        <is>
          <t>100ml</t>
        </is>
      </c>
      <c r="E25" s="14">
        <f>IF(AND(A25&lt;&gt;"",B25&lt;&gt;"",D25&lt;&gt;""),UPPER(SUBSTITUTE(A25," ","-"))&amp;"-"&amp;UPPER(SUBSTITUTE(B25," ","-"))&amp;"-"&amp;UPPER(SUBSTITUTE(D25," ","-")),"")</f>
        <v/>
      </c>
      <c r="F25" s="14" t="inlineStr">
        <is>
          <t>200100003014</t>
        </is>
      </c>
      <c r="G25" s="15" t="n">
        <v>80</v>
      </c>
      <c r="H25" s="15" t="n">
        <v>44</v>
      </c>
      <c r="I25" s="16" t="n">
        <v>11</v>
      </c>
      <c r="J25" s="17" t="inlineStr">
        <is>
          <t>Citrus</t>
        </is>
      </c>
      <c r="K25" s="17" t="inlineStr">
        <is>
          <t>Grapefruit, Bergamot, Mandarin</t>
        </is>
      </c>
      <c r="L25" s="17" t="inlineStr">
        <is>
          <t>Pepper, Rosemary, Rosewood</t>
        </is>
      </c>
      <c r="M25" s="17" t="inlineStr">
        <is>
          <t>Musk, Incense, Oakmoss</t>
        </is>
      </c>
      <c r="N25" s="17" t="inlineStr">
        <is>
          <t>Masculine</t>
        </is>
      </c>
      <c r="O25" s="17" t="inlineStr">
        <is>
          <t>Opens with grapefruit, bergamot and mandarin, moves through pepper and rosemary, settles into musk and incense. Bright and zesty from the first spray, effervescent rather than sweet — a dependable, everyday men's signature, light enough for daytime, with a few hours of wear.</t>
        </is>
      </c>
    </row>
    <row r="26" ht="15" customHeight="1" s="11">
      <c r="A26" s="14" t="inlineStr">
        <is>
          <t>Tom Ford</t>
        </is>
      </c>
      <c r="B26" s="14" t="inlineStr">
        <is>
          <t>Oud Wood</t>
        </is>
      </c>
      <c r="C26" s="14" t="inlineStr">
        <is>
          <t>EDP</t>
        </is>
      </c>
      <c r="D26" s="14" t="inlineStr">
        <is>
          <t>50ml</t>
        </is>
      </c>
      <c r="E26" s="14">
        <f>IF(AND(A26&lt;&gt;"",B26&lt;&gt;"",D26&lt;&gt;""),UPPER(SUBSTITUTE(A26," ","-"))&amp;"-"&amp;UPPER(SUBSTITUTE(B26," ","-"))&amp;"-"&amp;UPPER(SUBSTITUTE(D26," ","-")),"")</f>
        <v/>
      </c>
      <c r="F26" s="14" t="inlineStr">
        <is>
          <t>200100003151</t>
        </is>
      </c>
      <c r="G26" s="15" t="n">
        <v>260</v>
      </c>
      <c r="H26" s="15" t="n">
        <v>143</v>
      </c>
      <c r="I26" s="16" t="n">
        <v>2</v>
      </c>
      <c r="J26" s="17" t="inlineStr">
        <is>
          <t>Woody</t>
        </is>
      </c>
      <c r="K26" s="17" t="inlineStr">
        <is>
          <t>Rosewood, Cardamom, Sichuan Pepper</t>
        </is>
      </c>
      <c r="L26" s="17" t="inlineStr">
        <is>
          <t>Oud, Sandalwood, Vetiver</t>
        </is>
      </c>
      <c r="M26" s="17" t="inlineStr">
        <is>
          <t>Tonka Bean, Vanilla, Amber</t>
        </is>
      </c>
      <c r="N26" s="17" t="inlineStr">
        <is>
          <t>Unisex</t>
        </is>
      </c>
      <c r="O26" s="17" t="inlineStr">
        <is>
          <t>Opens with rosewood, cardamom and sichuan pepper, moves through oud and sandalwood, settles into tonka bean and vanilla. Warm and grounded, built around a real wood backbone — built to wear well on anyone, concentrated enough to carry into the evening.</t>
        </is>
      </c>
    </row>
    <row r="27" ht="15" customHeight="1" s="11">
      <c r="A27" s="14" t="inlineStr">
        <is>
          <t>Tom Ford</t>
        </is>
      </c>
      <c r="B27" s="14" t="inlineStr">
        <is>
          <t>Tobacco Vanille</t>
        </is>
      </c>
      <c r="C27" s="14" t="inlineStr">
        <is>
          <t>EDP</t>
        </is>
      </c>
      <c r="D27" s="14" t="inlineStr">
        <is>
          <t>50ml</t>
        </is>
      </c>
      <c r="E27" s="14">
        <f>IF(AND(A27&lt;&gt;"",B27&lt;&gt;"",D27&lt;&gt;""),UPPER(SUBSTITUTE(A27," ","-"))&amp;"-"&amp;UPPER(SUBSTITUTE(B27," ","-"))&amp;"-"&amp;UPPER(SUBSTITUTE(D27," ","-")),"")</f>
        <v/>
      </c>
      <c r="F27" s="14" t="inlineStr">
        <is>
          <t>200100003288</t>
        </is>
      </c>
      <c r="G27" s="15" t="n">
        <v>275</v>
      </c>
      <c r="H27" s="15" t="n">
        <v>151</v>
      </c>
      <c r="I27" s="16" t="n">
        <v>10</v>
      </c>
      <c r="J27" s="17" t="inlineStr">
        <is>
          <t>Amber/Oriental</t>
        </is>
      </c>
      <c r="K27" s="17" t="inlineStr">
        <is>
          <t>Tobacco Leaf, Spices</t>
        </is>
      </c>
      <c r="L27" s="17" t="inlineStr">
        <is>
          <t>Vanilla, Cacao, Tonka</t>
        </is>
      </c>
      <c r="M27" s="17" t="inlineStr">
        <is>
          <t>Dried Fruits, Woody Notes</t>
        </is>
      </c>
      <c r="N27" s="17" t="inlineStr">
        <is>
          <t>Unisex</t>
        </is>
      </c>
      <c r="O27" s="17" t="inlineStr">
        <is>
          <t>Opens with tobacco leaf and spices, moves through vanilla and cacao, settles into dried fruits and woody notes. Warm and resinous, glowing rather than shouting — built to wear well on anyone, concentrated enough to carry into the evening.</t>
        </is>
      </c>
    </row>
    <row r="28" ht="15" customHeight="1" s="11">
      <c r="A28" s="14" t="inlineStr">
        <is>
          <t>Tom Ford</t>
        </is>
      </c>
      <c r="B28" s="14" t="inlineStr">
        <is>
          <t>Ombré Leather</t>
        </is>
      </c>
      <c r="C28" s="14" t="inlineStr">
        <is>
          <t>EDP</t>
        </is>
      </c>
      <c r="D28" s="14" t="inlineStr">
        <is>
          <t>100ml</t>
        </is>
      </c>
      <c r="E28" s="14">
        <f>IF(AND(A28&lt;&gt;"",B28&lt;&gt;"",D28&lt;&gt;""),UPPER(SUBSTITUTE(A28," ","-"))&amp;"-"&amp;UPPER(SUBSTITUTE(B28," ","-"))&amp;"-"&amp;UPPER(SUBSTITUTE(D28," ","-")),"")</f>
        <v/>
      </c>
      <c r="F28" s="14" t="inlineStr">
        <is>
          <t>200100003425</t>
        </is>
      </c>
      <c r="G28" s="15" t="n">
        <v>200</v>
      </c>
      <c r="H28" s="15" t="n">
        <v>110</v>
      </c>
      <c r="I28" s="16" t="n">
        <v>5</v>
      </c>
      <c r="J28" s="17" t="inlineStr">
        <is>
          <t>Leather</t>
        </is>
      </c>
      <c r="K28" s="17" t="inlineStr">
        <is>
          <t>Cardamom</t>
        </is>
      </c>
      <c r="L28" s="17" t="inlineStr">
        <is>
          <t>Leather, Jasmine</t>
        </is>
      </c>
      <c r="M28" s="17" t="inlineStr">
        <is>
          <t>Amber, Moss, Patchouli</t>
        </is>
      </c>
      <c r="N28" s="17" t="inlineStr">
        <is>
          <t>Unisex</t>
        </is>
      </c>
      <c r="O28" s="17" t="inlineStr">
        <is>
          <t>Opens with cardamom, moves through leather and jasmine, settles into amber and moss. Smoky and supple, real leather rather than an idea of it — built to wear well on anyone, concentrated enough to carry into the evening.</t>
        </is>
      </c>
    </row>
    <row r="29" ht="15" customHeight="1" s="11">
      <c r="A29" s="14" t="inlineStr">
        <is>
          <t>Tom Ford</t>
        </is>
      </c>
      <c r="B29" s="14" t="inlineStr">
        <is>
          <t>Noir Extreme</t>
        </is>
      </c>
      <c r="C29" s="14" t="inlineStr">
        <is>
          <t>EDP</t>
        </is>
      </c>
      <c r="D29" s="14" t="inlineStr">
        <is>
          <t>100ml</t>
        </is>
      </c>
      <c r="E29" s="14">
        <f>IF(AND(A29&lt;&gt;"",B29&lt;&gt;"",D29&lt;&gt;""),UPPER(SUBSTITUTE(A29," ","-"))&amp;"-"&amp;UPPER(SUBSTITUTE(B29," ","-"))&amp;"-"&amp;UPPER(SUBSTITUTE(D29," ","-")),"")</f>
        <v/>
      </c>
      <c r="F29" s="14" t="inlineStr">
        <is>
          <t>200100003562</t>
        </is>
      </c>
      <c r="G29" s="15" t="n">
        <v>180</v>
      </c>
      <c r="H29" s="15" t="n">
        <v>99</v>
      </c>
      <c r="I29" s="16" t="n">
        <v>13</v>
      </c>
      <c r="J29" s="17" t="inlineStr">
        <is>
          <t>Amber/Oriental</t>
        </is>
      </c>
      <c r="K29" s="17" t="inlineStr">
        <is>
          <t>Mandarin, Cardamom, Saffron</t>
        </is>
      </c>
      <c r="L29" s="17" t="inlineStr">
        <is>
          <t>Orange Blossom, Kulfi, Rose</t>
        </is>
      </c>
      <c r="M29" s="17" t="inlineStr">
        <is>
          <t>Amber, Sandalwood, Vanilla</t>
        </is>
      </c>
      <c r="N29" s="17" t="inlineStr">
        <is>
          <t>Masculine</t>
        </is>
      </c>
      <c r="O29" s="17" t="inlineStr">
        <is>
          <t>Opens with mandarin, cardamom and saffron, moves through orange blossom and kulfi, settles into amber and sandalwood. Spiced and sensual, the kind of scent people lean in for — a confident one-bottle-does-it-all choice, concentrated enough to carry into the evening.</t>
        </is>
      </c>
    </row>
    <row r="30" ht="15" customHeight="1" s="11">
      <c r="A30" s="14" t="inlineStr">
        <is>
          <t>Bvlgari</t>
        </is>
      </c>
      <c r="B30" s="14" t="inlineStr">
        <is>
          <t>Man in Black</t>
        </is>
      </c>
      <c r="C30" s="14" t="inlineStr">
        <is>
          <t>EDP</t>
        </is>
      </c>
      <c r="D30" s="14" t="inlineStr">
        <is>
          <t>100ml</t>
        </is>
      </c>
      <c r="E30" s="14">
        <f>IF(AND(A30&lt;&gt;"",B30&lt;&gt;"",D30&lt;&gt;""),UPPER(SUBSTITUTE(A30," ","-"))&amp;"-"&amp;UPPER(SUBSTITUTE(B30," ","-"))&amp;"-"&amp;UPPER(SUBSTITUTE(D30," ","-")),"")</f>
        <v/>
      </c>
      <c r="F30" s="14" t="inlineStr">
        <is>
          <t>200100003699</t>
        </is>
      </c>
      <c r="G30" s="15" t="n">
        <v>85</v>
      </c>
      <c r="H30" s="15" t="n">
        <v>47</v>
      </c>
      <c r="I30" s="16" t="n">
        <v>12</v>
      </c>
      <c r="J30" s="17" t="inlineStr">
        <is>
          <t>Amber/Oriental</t>
        </is>
      </c>
      <c r="K30" s="17" t="inlineStr">
        <is>
          <t>Spices, Rum</t>
        </is>
      </c>
      <c r="L30" s="17" t="inlineStr">
        <is>
          <t>Tuberose, Iris, Leather</t>
        </is>
      </c>
      <c r="M30" s="17" t="inlineStr">
        <is>
          <t>Tonka, Benzoin, Guaiac Wood</t>
        </is>
      </c>
      <c r="N30" s="17" t="inlineStr">
        <is>
          <t>Masculine</t>
        </is>
      </c>
      <c r="O30" s="17" t="inlineStr">
        <is>
          <t>Opens with spices and rum, moves through tuberose and iris, settles into tonka and benzoin. Warm and resinous, glowing rather than shouting — a dependable, everyday men's signature, concentrated enough to carry into the evening.</t>
        </is>
      </c>
    </row>
    <row r="31" ht="15" customHeight="1" s="11">
      <c r="A31" s="14" t="inlineStr">
        <is>
          <t>Chanel</t>
        </is>
      </c>
      <c r="B31" s="14" t="inlineStr">
        <is>
          <t>Coco Mademoiselle</t>
        </is>
      </c>
      <c r="C31" s="14" t="inlineStr">
        <is>
          <t>EDP</t>
        </is>
      </c>
      <c r="D31" s="14" t="inlineStr">
        <is>
          <t>100ml</t>
        </is>
      </c>
      <c r="E31" s="14">
        <f>IF(AND(A31&lt;&gt;"",B31&lt;&gt;"",D31&lt;&gt;""),UPPER(SUBSTITUTE(A31," ","-"))&amp;"-"&amp;UPPER(SUBSTITUTE(B31," ","-"))&amp;"-"&amp;UPPER(SUBSTITUTE(D31," ","-")),"")</f>
        <v/>
      </c>
      <c r="F31" s="14" t="inlineStr">
        <is>
          <t>200100003836</t>
        </is>
      </c>
      <c r="G31" s="15" t="n">
        <v>145</v>
      </c>
      <c r="H31" s="15" t="n">
        <v>80</v>
      </c>
      <c r="I31" s="16" t="n">
        <v>13</v>
      </c>
      <c r="J31" s="17" t="inlineStr">
        <is>
          <t>Chypre</t>
        </is>
      </c>
      <c r="K31" s="17" t="inlineStr">
        <is>
          <t>Orange, Bergamot, Mandarin</t>
        </is>
      </c>
      <c r="L31" s="17" t="inlineStr">
        <is>
          <t>Rose, Jasmine, Litchi</t>
        </is>
      </c>
      <c r="M31" s="17" t="inlineStr">
        <is>
          <t>Patchouli, Vetiver, Vanilla, White Musk</t>
        </is>
      </c>
      <c r="N31" s="17" t="inlineStr">
        <is>
          <t>Feminine</t>
        </is>
      </c>
      <c r="O31" s="17" t="inlineStr">
        <is>
          <t>Opens with orange, bergamot and mandarin, moves through rose and jasmine, settles into patchouli and vetiver. Earthy and refined, with real depth to it — an easy, wear-anywhere choice, concentrated enough to carry into the evening.</t>
        </is>
      </c>
    </row>
    <row r="32" ht="15" customHeight="1" s="11">
      <c r="A32" s="14" t="inlineStr">
        <is>
          <t>Chanel</t>
        </is>
      </c>
      <c r="B32" s="14" t="inlineStr">
        <is>
          <t>No. 5</t>
        </is>
      </c>
      <c r="C32" s="14" t="inlineStr">
        <is>
          <t>EDP</t>
        </is>
      </c>
      <c r="D32" s="14" t="inlineStr">
        <is>
          <t>100ml</t>
        </is>
      </c>
      <c r="E32" s="14">
        <f>IF(AND(A32&lt;&gt;"",B32&lt;&gt;"",D32&lt;&gt;""),UPPER(SUBSTITUTE(A32," ","-"))&amp;"-"&amp;UPPER(SUBSTITUTE(B32," ","-"))&amp;"-"&amp;UPPER(SUBSTITUTE(D32," ","-")),"")</f>
        <v/>
      </c>
      <c r="F32" s="14" t="inlineStr">
        <is>
          <t>200100003973</t>
        </is>
      </c>
      <c r="G32" s="15" t="n">
        <v>150</v>
      </c>
      <c r="H32" s="15" t="n">
        <v>82</v>
      </c>
      <c r="I32" s="16" t="n">
        <v>10</v>
      </c>
      <c r="J32" s="17" t="inlineStr">
        <is>
          <t>Floral</t>
        </is>
      </c>
      <c r="K32" s="17" t="inlineStr">
        <is>
          <t>Aldehydes, Neroli, Ylang-Ylang</t>
        </is>
      </c>
      <c r="L32" s="17" t="inlineStr">
        <is>
          <t>Rose, Jasmine, Iris</t>
        </is>
      </c>
      <c r="M32" s="17" t="inlineStr">
        <is>
          <t>Sandalwood, Vanilla, Vetiver, Amber</t>
        </is>
      </c>
      <c r="N32" s="17" t="inlineStr">
        <is>
          <t>Feminine</t>
        </is>
      </c>
      <c r="O32" s="17" t="inlineStr">
        <is>
          <t>Opens with aldehydes, neroli and ylang-ylang, moves through rose and jasmine, settles into sandalwood and vanilla. Delicate but never quiet, a bouquet that lingers — an easy, wear-anywhere choice, concentrated enough to carry into the evening.</t>
        </is>
      </c>
    </row>
    <row r="33" ht="15" customHeight="1" s="11">
      <c r="A33" s="14" t="inlineStr">
        <is>
          <t>Chanel</t>
        </is>
      </c>
      <c r="B33" s="14" t="inlineStr">
        <is>
          <t>Chance Eau Tendre</t>
        </is>
      </c>
      <c r="C33" s="14" t="inlineStr">
        <is>
          <t>EDT</t>
        </is>
      </c>
      <c r="D33" s="14" t="inlineStr">
        <is>
          <t>100ml</t>
        </is>
      </c>
      <c r="E33" s="14">
        <f>IF(AND(A33&lt;&gt;"",B33&lt;&gt;"",D33&lt;&gt;""),UPPER(SUBSTITUTE(A33," ","-"))&amp;"-"&amp;UPPER(SUBSTITUTE(B33," ","-"))&amp;"-"&amp;UPPER(SUBSTITUTE(D33," ","-")),"")</f>
        <v/>
      </c>
      <c r="F33" s="14" t="inlineStr">
        <is>
          <t>200100004110</t>
        </is>
      </c>
      <c r="G33" s="15" t="n">
        <v>135</v>
      </c>
      <c r="H33" s="15" t="n">
        <v>74</v>
      </c>
      <c r="I33" s="16" t="n">
        <v>8</v>
      </c>
      <c r="J33" s="17" t="inlineStr">
        <is>
          <t>Floral</t>
        </is>
      </c>
      <c r="K33" s="17" t="inlineStr">
        <is>
          <t>Grapefruit, Quince</t>
        </is>
      </c>
      <c r="L33" s="17" t="inlineStr">
        <is>
          <t>Jasmine, Hyacinth</t>
        </is>
      </c>
      <c r="M33" s="17" t="inlineStr">
        <is>
          <t>Amber, White Musk, Iris</t>
        </is>
      </c>
      <c r="N33" s="17" t="inlineStr">
        <is>
          <t>Feminine</t>
        </is>
      </c>
      <c r="O33" s="17" t="inlineStr">
        <is>
          <t>Opens with grapefruit and quince, moves through jasmine and hyacinth, settles into amber and white musk. Delicate but never quiet, a bouquet that lingers — an easy, wear-anywhere choice, light enough for daytime, with a few hours of wear.</t>
        </is>
      </c>
    </row>
    <row r="34" ht="15" customHeight="1" s="11">
      <c r="A34" s="14" t="inlineStr">
        <is>
          <t>Dior</t>
        </is>
      </c>
      <c r="B34" s="14" t="inlineStr">
        <is>
          <t>J'adore</t>
        </is>
      </c>
      <c r="C34" s="14" t="inlineStr">
        <is>
          <t>EDP</t>
        </is>
      </c>
      <c r="D34" s="14" t="inlineStr">
        <is>
          <t>100ml</t>
        </is>
      </c>
      <c r="E34" s="14">
        <f>IF(AND(A34&lt;&gt;"",B34&lt;&gt;"",D34&lt;&gt;""),UPPER(SUBSTITUTE(A34," ","-"))&amp;"-"&amp;UPPER(SUBSTITUTE(B34," ","-"))&amp;"-"&amp;UPPER(SUBSTITUTE(D34," ","-")),"")</f>
        <v/>
      </c>
      <c r="F34" s="14" t="inlineStr">
        <is>
          <t>200100004247</t>
        </is>
      </c>
      <c r="G34" s="15" t="n">
        <v>150</v>
      </c>
      <c r="H34" s="15" t="n">
        <v>82</v>
      </c>
      <c r="I34" s="16" t="n">
        <v>5</v>
      </c>
      <c r="J34" s="17" t="inlineStr">
        <is>
          <t>Floral</t>
        </is>
      </c>
      <c r="K34" s="17" t="inlineStr">
        <is>
          <t>Pear, Melon, Magnolia</t>
        </is>
      </c>
      <c r="L34" s="17" t="inlineStr">
        <is>
          <t>Rose, Jasmine, Orchid</t>
        </is>
      </c>
      <c r="M34" s="17" t="inlineStr">
        <is>
          <t>Musk, Vanilla, Blackberry</t>
        </is>
      </c>
      <c r="N34" s="17" t="inlineStr">
        <is>
          <t>Feminine</t>
        </is>
      </c>
      <c r="O34" s="17" t="inlineStr">
        <is>
          <t>Opens with pear, melon and magnolia, moves through rose and jasmine, settles into musk and vanilla. Romantic and airy, blooming outward as it wears — a confident one-bottle-does-it-all pick, concentrated enough to carry into the evening.</t>
        </is>
      </c>
    </row>
    <row r="35" ht="15" customHeight="1" s="11">
      <c r="A35" s="14" t="inlineStr">
        <is>
          <t>Dior</t>
        </is>
      </c>
      <c r="B35" s="14" t="inlineStr">
        <is>
          <t>Miss Dior</t>
        </is>
      </c>
      <c r="C35" s="14" t="inlineStr">
        <is>
          <t>EDP</t>
        </is>
      </c>
      <c r="D35" s="14" t="inlineStr">
        <is>
          <t>100ml</t>
        </is>
      </c>
      <c r="E35" s="14">
        <f>IF(AND(A35&lt;&gt;"",B35&lt;&gt;"",D35&lt;&gt;""),UPPER(SUBSTITUTE(A35," ","-"))&amp;"-"&amp;UPPER(SUBSTITUTE(B35," ","-"))&amp;"-"&amp;UPPER(SUBSTITUTE(D35," ","-")),"")</f>
        <v/>
      </c>
      <c r="F35" s="14" t="inlineStr">
        <is>
          <t>200100004384</t>
        </is>
      </c>
      <c r="G35" s="15" t="n">
        <v>145</v>
      </c>
      <c r="H35" s="15" t="n">
        <v>80</v>
      </c>
      <c r="I35" s="16" t="n">
        <v>9</v>
      </c>
      <c r="J35" s="17" t="inlineStr">
        <is>
          <t>Floral</t>
        </is>
      </c>
      <c r="K35" s="17" t="inlineStr">
        <is>
          <t>Blood Orange, Mandarin</t>
        </is>
      </c>
      <c r="L35" s="17" t="inlineStr">
        <is>
          <t>Grasse Rose, Peony</t>
        </is>
      </c>
      <c r="M35" s="17" t="inlineStr">
        <is>
          <t>Rosewood, Patchouli, White Musk</t>
        </is>
      </c>
      <c r="N35" s="17" t="inlineStr">
        <is>
          <t>Feminine</t>
        </is>
      </c>
      <c r="O35" s="17" t="inlineStr">
        <is>
          <t>Opens with blood orange and mandarin, moves through grasse rose and peony, settles into rosewood and patchouli. Soft-petaled and radiant, built around a true floral heart — a versatile, everyday signature, concentrated enough to carry into the evening.</t>
        </is>
      </c>
    </row>
    <row r="36" ht="15" customHeight="1" s="11">
      <c r="A36" s="14" t="inlineStr">
        <is>
          <t>Lancôme</t>
        </is>
      </c>
      <c r="B36" s="14" t="inlineStr">
        <is>
          <t>La Vie Est Belle</t>
        </is>
      </c>
      <c r="C36" s="14" t="inlineStr">
        <is>
          <t>EDP</t>
        </is>
      </c>
      <c r="D36" s="14" t="inlineStr">
        <is>
          <t>100ml</t>
        </is>
      </c>
      <c r="E36" s="14">
        <f>IF(AND(A36&lt;&gt;"",B36&lt;&gt;"",D36&lt;&gt;""),UPPER(SUBSTITUTE(A36," ","-"))&amp;"-"&amp;UPPER(SUBSTITUTE(B36," ","-"))&amp;"-"&amp;UPPER(SUBSTITUTE(D36," ","-")),"")</f>
        <v/>
      </c>
      <c r="F36" s="14" t="inlineStr">
        <is>
          <t>200100004521</t>
        </is>
      </c>
      <c r="G36" s="15" t="n">
        <v>110</v>
      </c>
      <c r="H36" s="15" t="n">
        <v>61</v>
      </c>
      <c r="I36" s="16" t="n">
        <v>11</v>
      </c>
      <c r="J36" s="17" t="inlineStr">
        <is>
          <t>Gourmand</t>
        </is>
      </c>
      <c r="K36" s="17" t="inlineStr">
        <is>
          <t>Blackcurrant, Pear</t>
        </is>
      </c>
      <c r="L36" s="17" t="inlineStr">
        <is>
          <t>Iris, Jasmine, Orange Blossom</t>
        </is>
      </c>
      <c r="M36" s="17" t="inlineStr">
        <is>
          <t>Praline, Vanilla, Patchouli, Tonka</t>
        </is>
      </c>
      <c r="N36" s="17" t="inlineStr">
        <is>
          <t>Feminine</t>
        </is>
      </c>
      <c r="O36" s="17" t="inlineStr">
        <is>
          <t>Opens with blackcurrant and pear, moves through iris and jasmine, settles into praline and vanilla. Sweet and edible without tipping into dessert — a versatile, everyday signature, concentrated enough to carry into the evening.</t>
        </is>
      </c>
    </row>
    <row r="37" ht="15" customHeight="1" s="11">
      <c r="A37" s="14" t="inlineStr">
        <is>
          <t>Yves Saint Laurent</t>
        </is>
      </c>
      <c r="B37" s="14" t="inlineStr">
        <is>
          <t>Black Opium</t>
        </is>
      </c>
      <c r="C37" s="14" t="inlineStr">
        <is>
          <t>EDP</t>
        </is>
      </c>
      <c r="D37" s="14" t="inlineStr">
        <is>
          <t>90ml</t>
        </is>
      </c>
      <c r="E37" s="14">
        <f>IF(AND(A37&lt;&gt;"",B37&lt;&gt;"",D37&lt;&gt;""),UPPER(SUBSTITUTE(A37," ","-"))&amp;"-"&amp;UPPER(SUBSTITUTE(B37," ","-"))&amp;"-"&amp;UPPER(SUBSTITUTE(D37," ","-")),"")</f>
        <v/>
      </c>
      <c r="F37" s="14" t="inlineStr">
        <is>
          <t>200100004658</t>
        </is>
      </c>
      <c r="G37" s="15" t="n">
        <v>120</v>
      </c>
      <c r="H37" s="15" t="n">
        <v>66</v>
      </c>
      <c r="I37" s="16" t="n">
        <v>6</v>
      </c>
      <c r="J37" s="17" t="inlineStr">
        <is>
          <t>Gourmand</t>
        </is>
      </c>
      <c r="K37" s="17" t="inlineStr">
        <is>
          <t>Pink Pepper, Orange Blossom, Pear</t>
        </is>
      </c>
      <c r="L37" s="17" t="inlineStr">
        <is>
          <t>Coffee, Jasmine, Bitter Almond</t>
        </is>
      </c>
      <c r="M37" s="17" t="inlineStr">
        <is>
          <t>Vanilla, Patchouli, Cedar</t>
        </is>
      </c>
      <c r="N37" s="17" t="inlineStr">
        <is>
          <t>Feminine</t>
        </is>
      </c>
      <c r="O37" s="17" t="inlineStr">
        <is>
          <t>Opens with pink pepper, orange blossom and pear, moves through coffee and jasmine, settles into vanilla and patchouli. Sweet and edible without tipping into dessert — a versatile, everyday signature, concentrated enough to carry into the evening.</t>
        </is>
      </c>
    </row>
    <row r="38" ht="15" customHeight="1" s="11">
      <c r="A38" s="14" t="inlineStr">
        <is>
          <t>Yves Saint Laurent</t>
        </is>
      </c>
      <c r="B38" s="14" t="inlineStr">
        <is>
          <t>Libre</t>
        </is>
      </c>
      <c r="C38" s="14" t="inlineStr">
        <is>
          <t>EDP</t>
        </is>
      </c>
      <c r="D38" s="14" t="inlineStr">
        <is>
          <t>90ml</t>
        </is>
      </c>
      <c r="E38" s="14">
        <f>IF(AND(A38&lt;&gt;"",B38&lt;&gt;"",D38&lt;&gt;""),UPPER(SUBSTITUTE(A38," ","-"))&amp;"-"&amp;UPPER(SUBSTITUTE(B38," ","-"))&amp;"-"&amp;UPPER(SUBSTITUTE(D38," ","-")),"")</f>
        <v/>
      </c>
      <c r="F38" s="14" t="inlineStr">
        <is>
          <t>200100004795</t>
        </is>
      </c>
      <c r="G38" s="15" t="n">
        <v>120</v>
      </c>
      <c r="H38" s="15" t="n">
        <v>66</v>
      </c>
      <c r="I38" s="16" t="n">
        <v>14</v>
      </c>
      <c r="J38" s="17" t="inlineStr">
        <is>
          <t>Floral</t>
        </is>
      </c>
      <c r="K38" s="17" t="inlineStr">
        <is>
          <t>Mandarin, Lavender, Blackcurrant</t>
        </is>
      </c>
      <c r="L38" s="17" t="inlineStr">
        <is>
          <t>Lavender, Orange Blossom, Jasmine</t>
        </is>
      </c>
      <c r="M38" s="17" t="inlineStr">
        <is>
          <t>Vanilla, Musk, Cedar, Amber</t>
        </is>
      </c>
      <c r="N38" s="17" t="inlineStr">
        <is>
          <t>Feminine</t>
        </is>
      </c>
      <c r="O38" s="17" t="inlineStr">
        <is>
          <t>Opens with mandarin, lavender and blackcurrant, moves through lavender and orange blossom, settles into vanilla and musk. Soft-petaled and radiant, built around a true floral heart — a versatile, everyday signature, concentrated enough to carry into the evening.</t>
        </is>
      </c>
    </row>
    <row r="39" ht="15" customHeight="1" s="11">
      <c r="A39" s="14" t="inlineStr">
        <is>
          <t>Viktor&amp;Rolf</t>
        </is>
      </c>
      <c r="B39" s="14" t="inlineStr">
        <is>
          <t>Flowerbomb</t>
        </is>
      </c>
      <c r="C39" s="14" t="inlineStr">
        <is>
          <t>EDP</t>
        </is>
      </c>
      <c r="D39" s="14" t="inlineStr">
        <is>
          <t>100ml</t>
        </is>
      </c>
      <c r="E39" s="14">
        <f>IF(AND(A39&lt;&gt;"",B39&lt;&gt;"",D39&lt;&gt;""),UPPER(SUBSTITUTE(A39," ","-"))&amp;"-"&amp;UPPER(SUBSTITUTE(B39," ","-"))&amp;"-"&amp;UPPER(SUBSTITUTE(D39," ","-")),"")</f>
        <v/>
      </c>
      <c r="F39" s="14" t="inlineStr">
        <is>
          <t>200100004932</t>
        </is>
      </c>
      <c r="G39" s="15" t="n">
        <v>120</v>
      </c>
      <c r="H39" s="15" t="n">
        <v>66</v>
      </c>
      <c r="I39" s="16" t="n">
        <v>2</v>
      </c>
      <c r="J39" s="17" t="inlineStr">
        <is>
          <t>Floral</t>
        </is>
      </c>
      <c r="K39" s="17" t="inlineStr">
        <is>
          <t>Tea, Bergamot, Osmanthus</t>
        </is>
      </c>
      <c r="L39" s="17" t="inlineStr">
        <is>
          <t>Jasmine, Orchid, Rose, Freesia</t>
        </is>
      </c>
      <c r="M39" s="17" t="inlineStr">
        <is>
          <t>Patchouli, Musk, Vanilla</t>
        </is>
      </c>
      <c r="N39" s="17" t="inlineStr">
        <is>
          <t>Feminine</t>
        </is>
      </c>
      <c r="O39" s="17" t="inlineStr">
        <is>
          <t>Opens with tea, bergamot and osmanthus, moves through jasmine and orchid, settles into patchouli and musk. Soft-petaled and radiant, built around a true floral heart — a versatile, everyday signature, concentrated enough to carry into the evening.</t>
        </is>
      </c>
    </row>
    <row r="40" ht="15" customHeight="1" s="11">
      <c r="A40" s="14" t="inlineStr">
        <is>
          <t>Carolina Herrera</t>
        </is>
      </c>
      <c r="B40" s="14" t="inlineStr">
        <is>
          <t>Good Girl</t>
        </is>
      </c>
      <c r="C40" s="14" t="inlineStr">
        <is>
          <t>EDP</t>
        </is>
      </c>
      <c r="D40" s="14" t="inlineStr">
        <is>
          <t>80ml</t>
        </is>
      </c>
      <c r="E40" s="14">
        <f>IF(AND(A40&lt;&gt;"",B40&lt;&gt;"",D40&lt;&gt;""),UPPER(SUBSTITUTE(A40," ","-"))&amp;"-"&amp;UPPER(SUBSTITUTE(B40," ","-"))&amp;"-"&amp;UPPER(SUBSTITUTE(D40," ","-")),"")</f>
        <v/>
      </c>
      <c r="F40" s="14" t="inlineStr">
        <is>
          <t>200100005069</t>
        </is>
      </c>
      <c r="G40" s="15" t="n">
        <v>120</v>
      </c>
      <c r="H40" s="15" t="n">
        <v>66</v>
      </c>
      <c r="I40" s="16" t="n">
        <v>14</v>
      </c>
      <c r="J40" s="17" t="inlineStr">
        <is>
          <t>Amber/Oriental</t>
        </is>
      </c>
      <c r="K40" s="17" t="inlineStr">
        <is>
          <t>Almond, Coffee, Bergamot</t>
        </is>
      </c>
      <c r="L40" s="17" t="inlineStr">
        <is>
          <t>Tuberose, Jasmine, Orange Blossom</t>
        </is>
      </c>
      <c r="M40" s="17" t="inlineStr">
        <is>
          <t>Tonka, Cacao, Vanilla, Praline</t>
        </is>
      </c>
      <c r="N40" s="17" t="inlineStr">
        <is>
          <t>Feminine</t>
        </is>
      </c>
      <c r="O40" s="17" t="inlineStr">
        <is>
          <t>Opens with almond, coffee and bergamot, moves through tuberose and jasmine, settles into tonka and cacao. Rich and enveloping, built for cooler nights — an easy, wear-anywhere choice, concentrated enough to carry into the evening.</t>
        </is>
      </c>
    </row>
    <row r="41" ht="15" customHeight="1" s="11">
      <c r="A41" s="14" t="inlineStr">
        <is>
          <t>Marc Jacobs</t>
        </is>
      </c>
      <c r="B41" s="14" t="inlineStr">
        <is>
          <t>Daisy</t>
        </is>
      </c>
      <c r="C41" s="14" t="inlineStr">
        <is>
          <t>EDT</t>
        </is>
      </c>
      <c r="D41" s="14" t="inlineStr">
        <is>
          <t>100ml</t>
        </is>
      </c>
      <c r="E41" s="14">
        <f>IF(AND(A41&lt;&gt;"",B41&lt;&gt;"",D41&lt;&gt;""),UPPER(SUBSTITUTE(A41," ","-"))&amp;"-"&amp;UPPER(SUBSTITUTE(B41," ","-"))&amp;"-"&amp;UPPER(SUBSTITUTE(D41," ","-")),"")</f>
        <v/>
      </c>
      <c r="F41" s="14" t="inlineStr">
        <is>
          <t>200100005206</t>
        </is>
      </c>
      <c r="G41" s="15" t="n">
        <v>95</v>
      </c>
      <c r="H41" s="15" t="n">
        <v>52</v>
      </c>
      <c r="I41" s="16" t="n">
        <v>14</v>
      </c>
      <c r="J41" s="17" t="inlineStr">
        <is>
          <t>Floral</t>
        </is>
      </c>
      <c r="K41" s="17" t="inlineStr">
        <is>
          <t>Strawberry, Violet Leaf, Grapefruit</t>
        </is>
      </c>
      <c r="L41" s="17" t="inlineStr">
        <is>
          <t>Jasmine, Gardenia, Violet</t>
        </is>
      </c>
      <c r="M41" s="17" t="inlineStr">
        <is>
          <t>Musk, Vanilla, White Woods</t>
        </is>
      </c>
      <c r="N41" s="17" t="inlineStr">
        <is>
          <t>Feminine</t>
        </is>
      </c>
      <c r="O41" s="17" t="inlineStr">
        <is>
          <t>Opens with strawberry, violet leaf and grapefruit, moves through jasmine and gardenia, settles into musk and vanilla. Romantic and airy, blooming outward as it wears — a confident one-bottle-does-it-all pick, light enough for daytime, with a few hours of wear.</t>
        </is>
      </c>
    </row>
    <row r="42" ht="15" customHeight="1" s="11">
      <c r="A42" s="14" t="inlineStr">
        <is>
          <t>Paco Rabanne</t>
        </is>
      </c>
      <c r="B42" s="14" t="inlineStr">
        <is>
          <t>Lady Million</t>
        </is>
      </c>
      <c r="C42" s="14" t="inlineStr">
        <is>
          <t>EDP</t>
        </is>
      </c>
      <c r="D42" s="14" t="inlineStr">
        <is>
          <t>80ml</t>
        </is>
      </c>
      <c r="E42" s="14">
        <f>IF(AND(A42&lt;&gt;"",B42&lt;&gt;"",D42&lt;&gt;""),UPPER(SUBSTITUTE(A42," ","-"))&amp;"-"&amp;UPPER(SUBSTITUTE(B42," ","-"))&amp;"-"&amp;UPPER(SUBSTITUTE(D42," ","-")),"")</f>
        <v/>
      </c>
      <c r="F42" s="14" t="inlineStr">
        <is>
          <t>200100005343</t>
        </is>
      </c>
      <c r="G42" s="15" t="n">
        <v>95</v>
      </c>
      <c r="H42" s="15" t="n">
        <v>52</v>
      </c>
      <c r="I42" s="16" t="n">
        <v>4</v>
      </c>
      <c r="J42" s="17" t="inlineStr">
        <is>
          <t>Floral</t>
        </is>
      </c>
      <c r="K42" s="17" t="inlineStr">
        <is>
          <t>Bitter Orange, Raspberry, Neroli</t>
        </is>
      </c>
      <c r="L42" s="17" t="inlineStr">
        <is>
          <t>Orange Blossom, Jasmine, Gardenia</t>
        </is>
      </c>
      <c r="M42" s="17" t="inlineStr">
        <is>
          <t>Honey, Patchouli, Amber</t>
        </is>
      </c>
      <c r="N42" s="17" t="inlineStr">
        <is>
          <t>Feminine</t>
        </is>
      </c>
      <c r="O42" s="17" t="inlineStr">
        <is>
          <t>Opens with bitter orange, raspberry and neroli, moves through orange blossom and jasmine, settles into honey and patchouli. Romantic and airy, blooming outward as it wears — a confident one-bottle-does-it-all pick, concentrated enough to carry into the evening.</t>
        </is>
      </c>
    </row>
    <row r="43" ht="15" customHeight="1" s="11">
      <c r="A43" s="14" t="inlineStr">
        <is>
          <t>Giorgio Armani</t>
        </is>
      </c>
      <c r="B43" s="14" t="inlineStr">
        <is>
          <t>Sì</t>
        </is>
      </c>
      <c r="C43" s="14" t="inlineStr">
        <is>
          <t>EDP</t>
        </is>
      </c>
      <c r="D43" s="14" t="inlineStr">
        <is>
          <t>100ml</t>
        </is>
      </c>
      <c r="E43" s="14">
        <f>IF(AND(A43&lt;&gt;"",B43&lt;&gt;"",D43&lt;&gt;""),UPPER(SUBSTITUTE(A43," ","-"))&amp;"-"&amp;UPPER(SUBSTITUTE(B43," ","-"))&amp;"-"&amp;UPPER(SUBSTITUTE(D43," ","-")),"")</f>
        <v/>
      </c>
      <c r="F43" s="14" t="inlineStr">
        <is>
          <t>200100005480</t>
        </is>
      </c>
      <c r="G43" s="15" t="n">
        <v>110</v>
      </c>
      <c r="H43" s="15" t="n">
        <v>61</v>
      </c>
      <c r="I43" s="16" t="n">
        <v>13</v>
      </c>
      <c r="J43" s="17" t="inlineStr">
        <is>
          <t>Chypre</t>
        </is>
      </c>
      <c r="K43" s="17" t="inlineStr">
        <is>
          <t>Blackcurrant, Mandarin</t>
        </is>
      </c>
      <c r="L43" s="17" t="inlineStr">
        <is>
          <t>Rose, Freesia</t>
        </is>
      </c>
      <c r="M43" s="17" t="inlineStr">
        <is>
          <t>Patchouli, Vanilla, Ambroxan</t>
        </is>
      </c>
      <c r="N43" s="17" t="inlineStr">
        <is>
          <t>Feminine</t>
        </is>
      </c>
      <c r="O43" s="17" t="inlineStr">
        <is>
          <t>Opens with blackcurrant and mandarin, moves through rose and freesia, settles into patchouli and vanilla. Earthy and refined, with real depth to it — an easy, wear-anywhere choice, concentrated enough to carry into the evening.</t>
        </is>
      </c>
    </row>
    <row r="44" ht="15" customHeight="1" s="11">
      <c r="A44" s="14" t="inlineStr">
        <is>
          <t>Versace</t>
        </is>
      </c>
      <c r="B44" s="14" t="inlineStr">
        <is>
          <t>Bright Crystal</t>
        </is>
      </c>
      <c r="C44" s="14" t="inlineStr">
        <is>
          <t>EDT</t>
        </is>
      </c>
      <c r="D44" s="14" t="inlineStr">
        <is>
          <t>90ml</t>
        </is>
      </c>
      <c r="E44" s="14">
        <f>IF(AND(A44&lt;&gt;"",B44&lt;&gt;"",D44&lt;&gt;""),UPPER(SUBSTITUTE(A44," ","-"))&amp;"-"&amp;UPPER(SUBSTITUTE(B44," ","-"))&amp;"-"&amp;UPPER(SUBSTITUTE(D44," ","-")),"")</f>
        <v/>
      </c>
      <c r="F44" s="14" t="inlineStr">
        <is>
          <t>200100005617</t>
        </is>
      </c>
      <c r="G44" s="15" t="n">
        <v>75</v>
      </c>
      <c r="H44" s="15" t="n">
        <v>41</v>
      </c>
      <c r="I44" s="16" t="n">
        <v>8</v>
      </c>
      <c r="J44" s="17" t="inlineStr">
        <is>
          <t>Floral</t>
        </is>
      </c>
      <c r="K44" s="17" t="inlineStr">
        <is>
          <t>Pomegranate, Yuzu, Ice</t>
        </is>
      </c>
      <c r="L44" s="17" t="inlineStr">
        <is>
          <t>Peony, Magnolia, Lotus</t>
        </is>
      </c>
      <c r="M44" s="17" t="inlineStr">
        <is>
          <t>Musk, Amber, Mahogany</t>
        </is>
      </c>
      <c r="N44" s="17" t="inlineStr">
        <is>
          <t>Feminine</t>
        </is>
      </c>
      <c r="O44" s="17" t="inlineStr">
        <is>
          <t>Opens with pomegranate, yuzu and ice, moves through peony and magnolia, settles into musk and amber. Romantic and airy, blooming outward as it wears — a confident one-bottle-does-it-all pick, light enough for daytime, with a few hours of wear.</t>
        </is>
      </c>
    </row>
    <row r="45" ht="15" customHeight="1" s="11">
      <c r="A45" s="14" t="inlineStr">
        <is>
          <t>Dolce &amp; Gabbana</t>
        </is>
      </c>
      <c r="B45" s="14" t="inlineStr">
        <is>
          <t>Light Blue</t>
        </is>
      </c>
      <c r="C45" s="14" t="inlineStr">
        <is>
          <t>EDT</t>
        </is>
      </c>
      <c r="D45" s="14" t="inlineStr">
        <is>
          <t>100ml</t>
        </is>
      </c>
      <c r="E45" s="14">
        <f>IF(AND(A45&lt;&gt;"",B45&lt;&gt;"",D45&lt;&gt;""),UPPER(SUBSTITUTE(A45," ","-"))&amp;"-"&amp;UPPER(SUBSTITUTE(B45," ","-"))&amp;"-"&amp;UPPER(SUBSTITUTE(D45," ","-")),"")</f>
        <v/>
      </c>
      <c r="F45" s="14" t="inlineStr">
        <is>
          <t>200100005754</t>
        </is>
      </c>
      <c r="G45" s="15" t="n">
        <v>80</v>
      </c>
      <c r="H45" s="15" t="n">
        <v>44</v>
      </c>
      <c r="I45" s="16" t="n">
        <v>7</v>
      </c>
      <c r="J45" s="17" t="inlineStr">
        <is>
          <t>Citrus</t>
        </is>
      </c>
      <c r="K45" s="17" t="inlineStr">
        <is>
          <t>Sicilian Lemon, Apple, Bellflower</t>
        </is>
      </c>
      <c r="L45" s="17" t="inlineStr">
        <is>
          <t>Bamboo, Jasmine, White Rose</t>
        </is>
      </c>
      <c r="M45" s="17" t="inlineStr">
        <is>
          <t>Cedar, Amber, Musk</t>
        </is>
      </c>
      <c r="N45" s="17" t="inlineStr">
        <is>
          <t>Feminine</t>
        </is>
      </c>
      <c r="O45" s="17" t="inlineStr">
        <is>
          <t>Opens with sicilian lemon, apple and bellflower, moves through bamboo and jasmine, settles into cedar and amber. Sunlit and clean, never heavy — a confident one-bottle-does-it-all pick, light enough for daytime, with a few hours of wear.</t>
        </is>
      </c>
    </row>
    <row r="46" ht="15" customHeight="1" s="11">
      <c r="A46" s="14" t="inlineStr">
        <is>
          <t>Mugler</t>
        </is>
      </c>
      <c r="B46" s="14" t="inlineStr">
        <is>
          <t>Alien</t>
        </is>
      </c>
      <c r="C46" s="14" t="inlineStr">
        <is>
          <t>EDP</t>
        </is>
      </c>
      <c r="D46" s="14" t="inlineStr">
        <is>
          <t>90ml</t>
        </is>
      </c>
      <c r="E46" s="14">
        <f>IF(AND(A46&lt;&gt;"",B46&lt;&gt;"",D46&lt;&gt;""),UPPER(SUBSTITUTE(A46," ","-"))&amp;"-"&amp;UPPER(SUBSTITUTE(B46," ","-"))&amp;"-"&amp;UPPER(SUBSTITUTE(D46," ","-")),"")</f>
        <v/>
      </c>
      <c r="F46" s="14" t="inlineStr">
        <is>
          <t>200100005891</t>
        </is>
      </c>
      <c r="G46" s="15" t="n">
        <v>120</v>
      </c>
      <c r="H46" s="15" t="n">
        <v>66</v>
      </c>
      <c r="I46" s="16" t="n">
        <v>6</v>
      </c>
      <c r="J46" s="17" t="inlineStr">
        <is>
          <t>Amber/Oriental</t>
        </is>
      </c>
      <c r="K46" s="17" t="inlineStr">
        <is>
          <t>Jasmine</t>
        </is>
      </c>
      <c r="L46" s="17" t="inlineStr">
        <is>
          <t>Cashmeran, Amber</t>
        </is>
      </c>
      <c r="M46" s="17" t="inlineStr">
        <is>
          <t>White Amber, Woody Notes</t>
        </is>
      </c>
      <c r="N46" s="17" t="inlineStr">
        <is>
          <t>Feminine</t>
        </is>
      </c>
      <c r="O46" s="17" t="inlineStr">
        <is>
          <t>Opens with jasmine, moves through cashmeran and amber, settles into white amber and woody notes. Spiced and sensual, the kind of scent people lean in for — a confident one-bottle-does-it-all pick, concentrated enough to carry into the evening.</t>
        </is>
      </c>
    </row>
    <row r="47" ht="15" customHeight="1" s="11">
      <c r="A47" s="14" t="inlineStr">
        <is>
          <t>Mugler</t>
        </is>
      </c>
      <c r="B47" s="14" t="inlineStr">
        <is>
          <t>Angel</t>
        </is>
      </c>
      <c r="C47" s="14" t="inlineStr">
        <is>
          <t>EDP</t>
        </is>
      </c>
      <c r="D47" s="14" t="inlineStr">
        <is>
          <t>100ml</t>
        </is>
      </c>
      <c r="E47" s="14">
        <f>IF(AND(A47&lt;&gt;"",B47&lt;&gt;"",D47&lt;&gt;""),UPPER(SUBSTITUTE(A47," ","-"))&amp;"-"&amp;UPPER(SUBSTITUTE(B47," ","-"))&amp;"-"&amp;UPPER(SUBSTITUTE(D47," ","-")),"")</f>
        <v/>
      </c>
      <c r="F47" s="14" t="inlineStr">
        <is>
          <t>200100006028</t>
        </is>
      </c>
      <c r="G47" s="15" t="n">
        <v>130</v>
      </c>
      <c r="H47" s="15" t="n">
        <v>72</v>
      </c>
      <c r="I47" s="16" t="n">
        <v>4</v>
      </c>
      <c r="J47" s="17" t="inlineStr">
        <is>
          <t>Gourmand</t>
        </is>
      </c>
      <c r="K47" s="17" t="inlineStr">
        <is>
          <t>Bergamot, Melon, Coconut</t>
        </is>
      </c>
      <c r="L47" s="17" t="inlineStr">
        <is>
          <t>Honey, Red Berries, Peach</t>
        </is>
      </c>
      <c r="M47" s="17" t="inlineStr">
        <is>
          <t>Vanilla, Patchouli, Chocolate, Caramel</t>
        </is>
      </c>
      <c r="N47" s="17" t="inlineStr">
        <is>
          <t>Feminine</t>
        </is>
      </c>
      <c r="O47" s="17" t="inlineStr">
        <is>
          <t>Opens with bergamot, melon and coconut, moves through honey and red berries, settles into vanilla and patchouli. Indulgent and cozy, built around real sweetness — a confident one-bottle-does-it-all pick, concentrated enough to carry into the evening.</t>
        </is>
      </c>
    </row>
    <row r="48" ht="15" customHeight="1" s="11">
      <c r="A48" s="14" t="inlineStr">
        <is>
          <t>Lancôme</t>
        </is>
      </c>
      <c r="B48" s="14" t="inlineStr">
        <is>
          <t>Idôle</t>
        </is>
      </c>
      <c r="C48" s="14" t="inlineStr">
        <is>
          <t>EDP</t>
        </is>
      </c>
      <c r="D48" s="14" t="inlineStr">
        <is>
          <t>75ml</t>
        </is>
      </c>
      <c r="E48" s="14">
        <f>IF(AND(A48&lt;&gt;"",B48&lt;&gt;"",D48&lt;&gt;""),UPPER(SUBSTITUTE(A48," ","-"))&amp;"-"&amp;UPPER(SUBSTITUTE(B48," ","-"))&amp;"-"&amp;UPPER(SUBSTITUTE(D48," ","-")),"")</f>
        <v/>
      </c>
      <c r="F48" s="14" t="inlineStr">
        <is>
          <t>200100006165</t>
        </is>
      </c>
      <c r="G48" s="15" t="n">
        <v>110</v>
      </c>
      <c r="H48" s="15" t="n">
        <v>61</v>
      </c>
      <c r="I48" s="16" t="n">
        <v>5</v>
      </c>
      <c r="J48" s="17" t="inlineStr">
        <is>
          <t>Floral</t>
        </is>
      </c>
      <c r="K48" s="17" t="inlineStr">
        <is>
          <t>Bergamot, Pear, Pink Pepper</t>
        </is>
      </c>
      <c r="L48" s="17" t="inlineStr">
        <is>
          <t>Rose, Jasmine</t>
        </is>
      </c>
      <c r="M48" s="17" t="inlineStr">
        <is>
          <t>White Musk, Vanilla, Patchouli</t>
        </is>
      </c>
      <c r="N48" s="17" t="inlineStr">
        <is>
          <t>Feminine</t>
        </is>
      </c>
      <c r="O48" s="17" t="inlineStr">
        <is>
          <t>Opens with bergamot, pear and pink pepper, moves through rose and jasmine, settles into white musk and vanilla. Romantic and airy, blooming outward as it wears — a confident one-bottle-does-it-all pick, concentrated enough to carry into the evening.</t>
        </is>
      </c>
    </row>
    <row r="49" ht="15" customHeight="1" s="11">
      <c r="A49" s="14" t="inlineStr">
        <is>
          <t>Prada</t>
        </is>
      </c>
      <c r="B49" s="14" t="inlineStr">
        <is>
          <t>Paradoxe</t>
        </is>
      </c>
      <c r="C49" s="14" t="inlineStr">
        <is>
          <t>EDP</t>
        </is>
      </c>
      <c r="D49" s="14" t="inlineStr">
        <is>
          <t>90ml</t>
        </is>
      </c>
      <c r="E49" s="14">
        <f>IF(AND(A49&lt;&gt;"",B49&lt;&gt;"",D49&lt;&gt;""),UPPER(SUBSTITUTE(A49," ","-"))&amp;"-"&amp;UPPER(SUBSTITUTE(B49," ","-"))&amp;"-"&amp;UPPER(SUBSTITUTE(D49," ","-")),"")</f>
        <v/>
      </c>
      <c r="F49" s="14" t="inlineStr">
        <is>
          <t>200100006302</t>
        </is>
      </c>
      <c r="G49" s="15" t="n">
        <v>120</v>
      </c>
      <c r="H49" s="15" t="n">
        <v>66</v>
      </c>
      <c r="I49" s="16" t="n">
        <v>14</v>
      </c>
      <c r="J49" s="17" t="inlineStr">
        <is>
          <t>Floral</t>
        </is>
      </c>
      <c r="K49" s="17" t="inlineStr">
        <is>
          <t>Neroli, Bergamot</t>
        </is>
      </c>
      <c r="L49" s="17" t="inlineStr">
        <is>
          <t>Jasmine, Amber</t>
        </is>
      </c>
      <c r="M49" s="17" t="inlineStr">
        <is>
          <t>Musk, Vanilla</t>
        </is>
      </c>
      <c r="N49" s="17" t="inlineStr">
        <is>
          <t>Feminine</t>
        </is>
      </c>
      <c r="O49" s="17" t="inlineStr">
        <is>
          <t>Opens with neroli and bergamot, moves through jasmine and amber, settles into musk and vanilla. Soft-petaled and radiant, built around a true floral heart — a versatile, everyday signature, concentrated enough to carry into the evening.</t>
        </is>
      </c>
    </row>
    <row r="50" ht="15" customHeight="1" s="11">
      <c r="A50" s="14" t="inlineStr">
        <is>
          <t>Burberry</t>
        </is>
      </c>
      <c r="B50" s="14" t="inlineStr">
        <is>
          <t>Her</t>
        </is>
      </c>
      <c r="C50" s="14" t="inlineStr">
        <is>
          <t>EDP</t>
        </is>
      </c>
      <c r="D50" s="14" t="inlineStr">
        <is>
          <t>100ml</t>
        </is>
      </c>
      <c r="E50" s="14">
        <f>IF(AND(A50&lt;&gt;"",B50&lt;&gt;"",D50&lt;&gt;""),UPPER(SUBSTITUTE(A50," ","-"))&amp;"-"&amp;UPPER(SUBSTITUTE(B50," ","-"))&amp;"-"&amp;UPPER(SUBSTITUTE(D50," ","-")),"")</f>
        <v/>
      </c>
      <c r="F50" s="14" t="inlineStr">
        <is>
          <t>200100006439</t>
        </is>
      </c>
      <c r="G50" s="15" t="n">
        <v>120</v>
      </c>
      <c r="H50" s="15" t="n">
        <v>66</v>
      </c>
      <c r="I50" s="16" t="n">
        <v>7</v>
      </c>
      <c r="J50" s="17" t="inlineStr">
        <is>
          <t>Gourmand</t>
        </is>
      </c>
      <c r="K50" s="17" t="inlineStr">
        <is>
          <t>Blackcurrant, Raspberry, Blackberry</t>
        </is>
      </c>
      <c r="L50" s="17" t="inlineStr">
        <is>
          <t>Jasmine, Violet</t>
        </is>
      </c>
      <c r="M50" s="17" t="inlineStr">
        <is>
          <t>Musk, Amber, Vanilla</t>
        </is>
      </c>
      <c r="N50" s="17" t="inlineStr">
        <is>
          <t>Feminine</t>
        </is>
      </c>
      <c r="O50" s="17" t="inlineStr">
        <is>
          <t>Opens with blackcurrant, raspberry and blackberry, moves through jasmine and violet, settles into musk and amber. Indulgent and cozy, built around real sweetness — a confident one-bottle-does-it-all pick, concentrated enough to carry into the evening.</t>
        </is>
      </c>
    </row>
    <row r="51" ht="15" customHeight="1" s="11">
      <c r="A51" s="14" t="inlineStr">
        <is>
          <t>Gucci</t>
        </is>
      </c>
      <c r="B51" s="14" t="inlineStr">
        <is>
          <t>Bloom</t>
        </is>
      </c>
      <c r="C51" s="14" t="inlineStr">
        <is>
          <t>EDP</t>
        </is>
      </c>
      <c r="D51" s="14" t="inlineStr">
        <is>
          <t>100ml</t>
        </is>
      </c>
      <c r="E51" s="14">
        <f>IF(AND(A51&lt;&gt;"",B51&lt;&gt;"",D51&lt;&gt;""),UPPER(SUBSTITUTE(A51," ","-"))&amp;"-"&amp;UPPER(SUBSTITUTE(B51," ","-"))&amp;"-"&amp;UPPER(SUBSTITUTE(D51," ","-")),"")</f>
        <v/>
      </c>
      <c r="F51" s="14" t="inlineStr">
        <is>
          <t>200100006576</t>
        </is>
      </c>
      <c r="G51" s="15" t="n">
        <v>125</v>
      </c>
      <c r="H51" s="15" t="n">
        <v>69</v>
      </c>
      <c r="I51" s="16" t="n">
        <v>3</v>
      </c>
      <c r="J51" s="17" t="inlineStr">
        <is>
          <t>Floral</t>
        </is>
      </c>
      <c r="K51" s="17" t="inlineStr">
        <is>
          <t>Jasmine, Tuberose</t>
        </is>
      </c>
      <c r="L51" s="17" t="inlineStr">
        <is>
          <t>Rangoon Creeper, Orange Blossom</t>
        </is>
      </c>
      <c r="M51" s="17" t="inlineStr">
        <is>
          <t>Sandalwood, Musk</t>
        </is>
      </c>
      <c r="N51" s="17" t="inlineStr">
        <is>
          <t>Feminine</t>
        </is>
      </c>
      <c r="O51" s="17" t="inlineStr">
        <is>
          <t>Opens with jasmine and tuberose, moves through rangoon creeper and orange blossom, settles into sandalwood and musk. Soft-petaled and radiant, built around a true floral heart — a versatile, everyday signature, concentrated enough to carry into the evening.</t>
        </is>
      </c>
    </row>
    <row r="52" ht="15" customHeight="1" s="11">
      <c r="A52" s="14" t="inlineStr">
        <is>
          <t>Gucci</t>
        </is>
      </c>
      <c r="B52" s="14" t="inlineStr">
        <is>
          <t>Flora Gorgeous Gardenia</t>
        </is>
      </c>
      <c r="C52" s="14" t="inlineStr">
        <is>
          <t>EDP</t>
        </is>
      </c>
      <c r="D52" s="14" t="inlineStr">
        <is>
          <t>100ml</t>
        </is>
      </c>
      <c r="E52" s="14">
        <f>IF(AND(A52&lt;&gt;"",B52&lt;&gt;"",D52&lt;&gt;""),UPPER(SUBSTITUTE(A52," ","-"))&amp;"-"&amp;UPPER(SUBSTITUTE(B52," ","-"))&amp;"-"&amp;UPPER(SUBSTITUTE(D52," ","-")),"")</f>
        <v/>
      </c>
      <c r="F52" s="14" t="inlineStr">
        <is>
          <t>200100006713</t>
        </is>
      </c>
      <c r="G52" s="15" t="n">
        <v>130</v>
      </c>
      <c r="H52" s="15" t="n">
        <v>72</v>
      </c>
      <c r="I52" s="16" t="n">
        <v>3</v>
      </c>
      <c r="J52" s="17" t="inlineStr">
        <is>
          <t>Floral</t>
        </is>
      </c>
      <c r="K52" s="17" t="inlineStr">
        <is>
          <t>Pear, Red Berries</t>
        </is>
      </c>
      <c r="L52" s="17" t="inlineStr">
        <is>
          <t>Gardenia, Frangipani</t>
        </is>
      </c>
      <c r="M52" s="17" t="inlineStr">
        <is>
          <t>Brown Sugar, Patchouli</t>
        </is>
      </c>
      <c r="N52" s="17" t="inlineStr">
        <is>
          <t>Feminine</t>
        </is>
      </c>
      <c r="O52" s="17" t="inlineStr">
        <is>
          <t>Opens with pear and red berries, moves through gardenia and frangipani, settles into brown sugar and patchouli. Soft-petaled and radiant, built around a true floral heart — a versatile, everyday signature, concentrated enough to carry into the evening.</t>
        </is>
      </c>
    </row>
    <row r="53" ht="15" customHeight="1" s="11">
      <c r="A53" s="14" t="inlineStr">
        <is>
          <t>Jean Paul Gaultier</t>
        </is>
      </c>
      <c r="B53" s="14" t="inlineStr">
        <is>
          <t>Scandal</t>
        </is>
      </c>
      <c r="C53" s="14" t="inlineStr">
        <is>
          <t>EDP</t>
        </is>
      </c>
      <c r="D53" s="14" t="inlineStr">
        <is>
          <t>80ml</t>
        </is>
      </c>
      <c r="E53" s="14">
        <f>IF(AND(A53&lt;&gt;"",B53&lt;&gt;"",D53&lt;&gt;""),UPPER(SUBSTITUTE(A53," ","-"))&amp;"-"&amp;UPPER(SUBSTITUTE(B53," ","-"))&amp;"-"&amp;UPPER(SUBSTITUTE(D53," ","-")),"")</f>
        <v/>
      </c>
      <c r="F53" s="14" t="inlineStr">
        <is>
          <t>200100006850</t>
        </is>
      </c>
      <c r="G53" s="15" t="n">
        <v>105</v>
      </c>
      <c r="H53" s="15" t="n">
        <v>58</v>
      </c>
      <c r="I53" s="16" t="n">
        <v>8</v>
      </c>
      <c r="J53" s="17" t="inlineStr">
        <is>
          <t>Gourmand</t>
        </is>
      </c>
      <c r="K53" s="17" t="inlineStr">
        <is>
          <t>Blood Orange, Mandarin</t>
        </is>
      </c>
      <c r="L53" s="17" t="inlineStr">
        <is>
          <t>Honey, Gardenia, Jasmine</t>
        </is>
      </c>
      <c r="M53" s="17" t="inlineStr">
        <is>
          <t>Patchouli, Beeswax, Caramel</t>
        </is>
      </c>
      <c r="N53" s="17" t="inlineStr">
        <is>
          <t>Feminine</t>
        </is>
      </c>
      <c r="O53" s="17" t="inlineStr">
        <is>
          <t>Opens with blood orange and mandarin, moves through honey and gardenia, settles into patchouli and beeswax. Warm and comforting, like something baked — an easy, wear-anywhere choice, concentrated enough to carry into the evening.</t>
        </is>
      </c>
    </row>
    <row r="54" ht="15" customHeight="1" s="11">
      <c r="A54" s="14" t="inlineStr">
        <is>
          <t>Narciso Rodriguez</t>
        </is>
      </c>
      <c r="B54" s="14" t="inlineStr">
        <is>
          <t>For Her</t>
        </is>
      </c>
      <c r="C54" s="14" t="inlineStr">
        <is>
          <t>EDP</t>
        </is>
      </c>
      <c r="D54" s="14" t="inlineStr">
        <is>
          <t>100ml</t>
        </is>
      </c>
      <c r="E54" s="14">
        <f>IF(AND(A54&lt;&gt;"",B54&lt;&gt;"",D54&lt;&gt;""),UPPER(SUBSTITUTE(A54," ","-"))&amp;"-"&amp;UPPER(SUBSTITUTE(B54," ","-"))&amp;"-"&amp;UPPER(SUBSTITUTE(D54," ","-")),"")</f>
        <v/>
      </c>
      <c r="F54" s="14" t="inlineStr">
        <is>
          <t>200100006987</t>
        </is>
      </c>
      <c r="G54" s="15" t="n">
        <v>120</v>
      </c>
      <c r="H54" s="15" t="n">
        <v>66</v>
      </c>
      <c r="I54" s="16" t="n">
        <v>3</v>
      </c>
      <c r="J54" s="17" t="inlineStr">
        <is>
          <t>Chypre</t>
        </is>
      </c>
      <c r="K54" s="17" t="inlineStr">
        <is>
          <t>Osmanthus, African Orange Flower</t>
        </is>
      </c>
      <c r="L54" s="17" t="inlineStr">
        <is>
          <t>Musk, Amber</t>
        </is>
      </c>
      <c r="M54" s="17" t="inlineStr">
        <is>
          <t>Vanilla, Patchouli, Vetiver</t>
        </is>
      </c>
      <c r="N54" s="17" t="inlineStr">
        <is>
          <t>Feminine</t>
        </is>
      </c>
      <c r="O54" s="17" t="inlineStr">
        <is>
          <t>Opens with osmanthus and african orange flower, moves through musk and amber, settles into vanilla and patchouli. Structured and sophisticated, rewards a second sniff — a confident one-bottle-does-it-all pick, concentrated enough to carry into the evening.</t>
        </is>
      </c>
    </row>
    <row r="55" ht="15" customHeight="1" s="11">
      <c r="A55" s="14" t="inlineStr">
        <is>
          <t>Chloé</t>
        </is>
      </c>
      <c r="B55" s="14" t="inlineStr">
        <is>
          <t>Chloé</t>
        </is>
      </c>
      <c r="C55" s="14" t="inlineStr">
        <is>
          <t>EDP</t>
        </is>
      </c>
      <c r="D55" s="14" t="inlineStr">
        <is>
          <t>75ml</t>
        </is>
      </c>
      <c r="E55" s="14">
        <f>IF(AND(A55&lt;&gt;"",B55&lt;&gt;"",D55&lt;&gt;""),UPPER(SUBSTITUTE(A55," ","-"))&amp;"-"&amp;UPPER(SUBSTITUTE(B55," ","-"))&amp;"-"&amp;UPPER(SUBSTITUTE(D55," ","-")),"")</f>
        <v/>
      </c>
      <c r="F55" s="14" t="inlineStr">
        <is>
          <t>200100007124</t>
        </is>
      </c>
      <c r="G55" s="15" t="n">
        <v>110</v>
      </c>
      <c r="H55" s="15" t="n">
        <v>61</v>
      </c>
      <c r="I55" s="16" t="n">
        <v>7</v>
      </c>
      <c r="J55" s="17" t="inlineStr">
        <is>
          <t>Floral</t>
        </is>
      </c>
      <c r="K55" s="17" t="inlineStr">
        <is>
          <t>Peony, Freesia, Litchi</t>
        </is>
      </c>
      <c r="L55" s="17" t="inlineStr">
        <is>
          <t>Rose, Magnolia, Lily of the Valley</t>
        </is>
      </c>
      <c r="M55" s="17" t="inlineStr">
        <is>
          <t>Cedar, Amber, Honey</t>
        </is>
      </c>
      <c r="N55" s="17" t="inlineStr">
        <is>
          <t>Feminine</t>
        </is>
      </c>
      <c r="O55" s="17" t="inlineStr">
        <is>
          <t>Opens with peony, freesia and litchi, moves through rose and magnolia, settles into cedar and amber. Delicate but never quiet, a bouquet that lingers — an easy, wear-anywhere choice, concentrated enough to carry into the evening.</t>
        </is>
      </c>
    </row>
    <row r="56" ht="15" customHeight="1" s="11">
      <c r="A56" s="14" t="inlineStr">
        <is>
          <t>Ariana Grande</t>
        </is>
      </c>
      <c r="B56" s="14" t="inlineStr">
        <is>
          <t>Cloud</t>
        </is>
      </c>
      <c r="C56" s="14" t="inlineStr">
        <is>
          <t>EDP</t>
        </is>
      </c>
      <c r="D56" s="14" t="inlineStr">
        <is>
          <t>100ml</t>
        </is>
      </c>
      <c r="E56" s="14">
        <f>IF(AND(A56&lt;&gt;"",B56&lt;&gt;"",D56&lt;&gt;""),UPPER(SUBSTITUTE(A56," ","-"))&amp;"-"&amp;UPPER(SUBSTITUTE(B56," ","-"))&amp;"-"&amp;UPPER(SUBSTITUTE(D56," ","-")),"")</f>
        <v/>
      </c>
      <c r="F56" s="14" t="inlineStr">
        <is>
          <t>200100007261</t>
        </is>
      </c>
      <c r="G56" s="15" t="n">
        <v>65</v>
      </c>
      <c r="H56" s="15" t="n">
        <v>36</v>
      </c>
      <c r="I56" s="16" t="n">
        <v>7</v>
      </c>
      <c r="J56" s="17" t="inlineStr">
        <is>
          <t>Gourmand</t>
        </is>
      </c>
      <c r="K56" s="17" t="inlineStr">
        <is>
          <t>Lavender, Pear, Bergamot</t>
        </is>
      </c>
      <c r="L56" s="17" t="inlineStr">
        <is>
          <t>Whipped Cream, Praline, Coconut</t>
        </is>
      </c>
      <c r="M56" s="17" t="inlineStr">
        <is>
          <t>Musk, Woods</t>
        </is>
      </c>
      <c r="N56" s="17" t="inlineStr">
        <is>
          <t>Feminine</t>
        </is>
      </c>
      <c r="O56" s="17" t="inlineStr">
        <is>
          <t>Opens with lavender, pear and bergamot, moves through whipped cream and praline, settles into musk and woods. Indulgent and cozy, built around real sweetness — a confident one-bottle-does-it-all pick, concentrated enough to carry into the evening.</t>
        </is>
      </c>
    </row>
    <row r="57" ht="15" customHeight="1" s="11">
      <c r="A57" s="14" t="inlineStr">
        <is>
          <t>Kayali</t>
        </is>
      </c>
      <c r="B57" s="14" t="inlineStr">
        <is>
          <t>Vanilla 28</t>
        </is>
      </c>
      <c r="C57" s="14" t="inlineStr">
        <is>
          <t>EDP</t>
        </is>
      </c>
      <c r="D57" s="14" t="inlineStr">
        <is>
          <t>50ml</t>
        </is>
      </c>
      <c r="E57" s="14">
        <f>IF(AND(A57&lt;&gt;"",B57&lt;&gt;"",D57&lt;&gt;""),UPPER(SUBSTITUTE(A57," ","-"))&amp;"-"&amp;UPPER(SUBSTITUTE(B57," ","-"))&amp;"-"&amp;UPPER(SUBSTITUTE(D57," ","-")),"")</f>
        <v/>
      </c>
      <c r="F57" s="14" t="inlineStr">
        <is>
          <t>200100007398</t>
        </is>
      </c>
      <c r="G57" s="15" t="n">
        <v>118</v>
      </c>
      <c r="H57" s="15" t="n">
        <v>65</v>
      </c>
      <c r="I57" s="16" t="n">
        <v>11</v>
      </c>
      <c r="J57" s="17" t="inlineStr">
        <is>
          <t>Gourmand</t>
        </is>
      </c>
      <c r="K57" s="17" t="inlineStr">
        <is>
          <t>Brown Sugar</t>
        </is>
      </c>
      <c r="L57" s="17" t="inlineStr">
        <is>
          <t>Vanilla, Jasmine</t>
        </is>
      </c>
      <c r="M57" s="17" t="inlineStr">
        <is>
          <t>Musk, Tonka, Amber</t>
        </is>
      </c>
      <c r="N57" s="17" t="inlineStr">
        <is>
          <t>Feminine</t>
        </is>
      </c>
      <c r="O57" s="17" t="inlineStr">
        <is>
          <t>Opens with brown sugar, moves through vanilla and jasmine, settles into musk and tonka. Indulgent and cozy, built around real sweetness — a confident one-bottle-does-it-all pick, concentrated enough to carry into the evening.</t>
        </is>
      </c>
    </row>
    <row r="58" ht="15" customHeight="1" s="11">
      <c r="A58" s="14" t="inlineStr">
        <is>
          <t>Maison Francis Kurkdjian</t>
        </is>
      </c>
      <c r="B58" s="14" t="inlineStr">
        <is>
          <t>Baccarat Rouge 540</t>
        </is>
      </c>
      <c r="C58" s="14" t="inlineStr">
        <is>
          <t>EDP</t>
        </is>
      </c>
      <c r="D58" s="14" t="inlineStr">
        <is>
          <t>70ml</t>
        </is>
      </c>
      <c r="E58" s="14">
        <f>IF(AND(A58&lt;&gt;"",B58&lt;&gt;"",D58&lt;&gt;""),UPPER(SUBSTITUTE(A58," ","-"))&amp;"-"&amp;UPPER(SUBSTITUTE(B58," ","-"))&amp;"-"&amp;UPPER(SUBSTITUTE(D58," ","-")),"")</f>
        <v/>
      </c>
      <c r="F58" s="14" t="inlineStr">
        <is>
          <t>200100007535</t>
        </is>
      </c>
      <c r="G58" s="15" t="n">
        <v>325</v>
      </c>
      <c r="H58" s="15" t="n">
        <v>179</v>
      </c>
      <c r="I58" s="16" t="n">
        <v>6</v>
      </c>
      <c r="J58" s="17" t="inlineStr">
        <is>
          <t>Amber/Oriental</t>
        </is>
      </c>
      <c r="K58" s="17" t="inlineStr">
        <is>
          <t>Saffron, Jasmine</t>
        </is>
      </c>
      <c r="L58" s="17" t="inlineStr">
        <is>
          <t>Amberwood, Ambergris</t>
        </is>
      </c>
      <c r="M58" s="17" t="inlineStr">
        <is>
          <t>Fir Resin, Cedar</t>
        </is>
      </c>
      <c r="N58" s="17" t="inlineStr">
        <is>
          <t>Unisex</t>
        </is>
      </c>
      <c r="O58" s="17" t="inlineStr">
        <is>
          <t>Opens with saffron and jasmine, moves through amberwood and ambergris, settles into fir resin and cedar. Rich and enveloping, built for cooler nights — genuinely unisex, no gendered marketing required, concentrated enough to carry into the evening.</t>
        </is>
      </c>
    </row>
    <row r="59" ht="15" customHeight="1" s="11">
      <c r="A59" s="14" t="inlineStr">
        <is>
          <t>Le Labo</t>
        </is>
      </c>
      <c r="B59" s="14" t="inlineStr">
        <is>
          <t>Santal 33</t>
        </is>
      </c>
      <c r="C59" s="14" t="inlineStr">
        <is>
          <t>EDP</t>
        </is>
      </c>
      <c r="D59" s="14" t="inlineStr">
        <is>
          <t>50ml</t>
        </is>
      </c>
      <c r="E59" s="14">
        <f>IF(AND(A59&lt;&gt;"",B59&lt;&gt;"",D59&lt;&gt;""),UPPER(SUBSTITUTE(A59," ","-"))&amp;"-"&amp;UPPER(SUBSTITUTE(B59," ","-"))&amp;"-"&amp;UPPER(SUBSTITUTE(D59," ","-")),"")</f>
        <v/>
      </c>
      <c r="F59" s="14" t="inlineStr">
        <is>
          <t>200100007672</t>
        </is>
      </c>
      <c r="G59" s="15" t="n">
        <v>220</v>
      </c>
      <c r="H59" s="15" t="n">
        <v>121</v>
      </c>
      <c r="I59" s="16" t="n">
        <v>14</v>
      </c>
      <c r="J59" s="17" t="inlineStr">
        <is>
          <t>Woody</t>
        </is>
      </c>
      <c r="K59" s="17" t="inlineStr">
        <is>
          <t>Cardamom, Iris, Violet</t>
        </is>
      </c>
      <c r="L59" s="17" t="inlineStr">
        <is>
          <t>Ambrox, Sandalwood</t>
        </is>
      </c>
      <c r="M59" s="17" t="inlineStr">
        <is>
          <t>Leather, Cedar, Papyrus</t>
        </is>
      </c>
      <c r="N59" s="17" t="inlineStr">
        <is>
          <t>Unisex</t>
        </is>
      </c>
      <c r="O59" s="17" t="inlineStr">
        <is>
          <t>Opens with cardamom, iris and violet, moves through ambrox and sandalwood, settles into leather and cedar. Dry and textured, more sweater than cologne — flexible enough for any wardrobe, concentrated enough to carry into the evening.</t>
        </is>
      </c>
    </row>
    <row r="60" ht="15" customHeight="1" s="11">
      <c r="A60" s="14" t="inlineStr">
        <is>
          <t>Byredo</t>
        </is>
      </c>
      <c r="B60" s="14" t="inlineStr">
        <is>
          <t>Gypsy Water</t>
        </is>
      </c>
      <c r="C60" s="14" t="inlineStr">
        <is>
          <t>EDP</t>
        </is>
      </c>
      <c r="D60" s="14" t="inlineStr">
        <is>
          <t>100ml</t>
        </is>
      </c>
      <c r="E60" s="14">
        <f>IF(AND(A60&lt;&gt;"",B60&lt;&gt;"",D60&lt;&gt;""),UPPER(SUBSTITUTE(A60," ","-"))&amp;"-"&amp;UPPER(SUBSTITUTE(B60," ","-"))&amp;"-"&amp;UPPER(SUBSTITUTE(D60," ","-")),"")</f>
        <v/>
      </c>
      <c r="F60" s="14" t="inlineStr">
        <is>
          <t>200100007809</t>
        </is>
      </c>
      <c r="G60" s="15" t="n">
        <v>196</v>
      </c>
      <c r="H60" s="15" t="n">
        <v>108</v>
      </c>
      <c r="I60" s="16" t="n">
        <v>2</v>
      </c>
      <c r="J60" s="17" t="inlineStr">
        <is>
          <t>Woody</t>
        </is>
      </c>
      <c r="K60" s="17" t="inlineStr">
        <is>
          <t>Bergamot, Lemon, Pepper, Juniper</t>
        </is>
      </c>
      <c r="L60" s="17" t="inlineStr">
        <is>
          <t>Incense, Pine Needles, Orris</t>
        </is>
      </c>
      <c r="M60" s="17" t="inlineStr">
        <is>
          <t>Amber, Vanilla, Sandalwood</t>
        </is>
      </c>
      <c r="N60" s="17" t="inlineStr">
        <is>
          <t>Unisex</t>
        </is>
      </c>
      <c r="O60" s="17" t="inlineStr">
        <is>
          <t>Opens with bergamot, lemon and pepper, moves through incense and pine needles, settles into amber and vanilla. Dry and textured, more sweater than cologne — flexible enough for any wardrobe, concentrated enough to carry into the evening.</t>
        </is>
      </c>
    </row>
    <row r="61" ht="15" customHeight="1" s="11">
      <c r="A61" s="14" t="inlineStr">
        <is>
          <t>Jo Malone</t>
        </is>
      </c>
      <c r="B61" s="14" t="inlineStr">
        <is>
          <t>Wood Sage &amp; Sea Salt</t>
        </is>
      </c>
      <c r="C61" s="14" t="inlineStr">
        <is>
          <t>Cologne</t>
        </is>
      </c>
      <c r="D61" s="14" t="inlineStr">
        <is>
          <t>100ml</t>
        </is>
      </c>
      <c r="E61" s="14">
        <f>IF(AND(A61&lt;&gt;"",B61&lt;&gt;"",D61&lt;&gt;""),UPPER(SUBSTITUTE(A61," ","-"))&amp;"-"&amp;UPPER(SUBSTITUTE(B61," ","-"))&amp;"-"&amp;UPPER(SUBSTITUTE(D61," ","-")),"")</f>
        <v/>
      </c>
      <c r="F61" s="14" t="inlineStr">
        <is>
          <t>200100007946</t>
        </is>
      </c>
      <c r="G61" s="15" t="n">
        <v>150</v>
      </c>
      <c r="H61" s="15" t="n">
        <v>82</v>
      </c>
      <c r="I61" s="16" t="n">
        <v>13</v>
      </c>
      <c r="J61" s="17" t="inlineStr">
        <is>
          <t>Fresh/Aquatic</t>
        </is>
      </c>
      <c r="K61" s="17" t="inlineStr">
        <is>
          <t>Ambrette Seeds</t>
        </is>
      </c>
      <c r="L61" s="17" t="inlineStr">
        <is>
          <t>Sea Salt</t>
        </is>
      </c>
      <c r="M61" s="17" t="inlineStr">
        <is>
          <t>Sage, Driftwood</t>
        </is>
      </c>
      <c r="N61" s="17" t="inlineStr">
        <is>
          <t>Unisex</t>
        </is>
      </c>
      <c r="O61" s="17" t="inlineStr">
        <is>
          <t>Opens with ambrette seeds, moves through sea salt, settles into sage and driftwood. Airy and transparent, built to feel weightless — flexible enough for any wardrobe, a lighter, splashier cut, best refreshed through the day.</t>
        </is>
      </c>
    </row>
    <row r="62" ht="15" customHeight="1" s="11">
      <c r="A62" s="14" t="inlineStr">
        <is>
          <t>Jo Malone</t>
        </is>
      </c>
      <c r="B62" s="14" t="inlineStr">
        <is>
          <t>English Pear &amp; Freesia</t>
        </is>
      </c>
      <c r="C62" s="14" t="inlineStr">
        <is>
          <t>Cologne</t>
        </is>
      </c>
      <c r="D62" s="14" t="inlineStr">
        <is>
          <t>100ml</t>
        </is>
      </c>
      <c r="E62" s="14">
        <f>IF(AND(A62&lt;&gt;"",B62&lt;&gt;"",D62&lt;&gt;""),UPPER(SUBSTITUTE(A62," ","-"))&amp;"-"&amp;UPPER(SUBSTITUTE(B62," ","-"))&amp;"-"&amp;UPPER(SUBSTITUTE(D62," ","-")),"")</f>
        <v/>
      </c>
      <c r="F62" s="14" t="inlineStr">
        <is>
          <t>200100008083</t>
        </is>
      </c>
      <c r="G62" s="15" t="n">
        <v>150</v>
      </c>
      <c r="H62" s="15" t="n">
        <v>82</v>
      </c>
      <c r="I62" s="16" t="n">
        <v>9</v>
      </c>
      <c r="J62" s="17" t="inlineStr">
        <is>
          <t>Floral</t>
        </is>
      </c>
      <c r="K62" s="17" t="inlineStr">
        <is>
          <t>Pear, Melon</t>
        </is>
      </c>
      <c r="L62" s="17" t="inlineStr">
        <is>
          <t>Freesia, Rose</t>
        </is>
      </c>
      <c r="M62" s="17" t="inlineStr">
        <is>
          <t>Patchouli, Musk, Amber</t>
        </is>
      </c>
      <c r="N62" s="17" t="inlineStr">
        <is>
          <t>Unisex</t>
        </is>
      </c>
      <c r="O62" s="17" t="inlineStr">
        <is>
          <t>Opens with pear and melon, moves through freesia and rose, settles into patchouli and musk. Soft-petaled and radiant, built around a true floral heart — built to wear well on anyone, a lighter, splashier cut, best refreshed through the day.</t>
        </is>
      </c>
    </row>
    <row r="63" ht="15" customHeight="1" s="11">
      <c r="A63" s="14" t="inlineStr">
        <is>
          <t>Maison Margiela</t>
        </is>
      </c>
      <c r="B63" s="14" t="inlineStr">
        <is>
          <t>Replica Jazz Club</t>
        </is>
      </c>
      <c r="C63" s="14" t="inlineStr">
        <is>
          <t>EDT</t>
        </is>
      </c>
      <c r="D63" s="14" t="inlineStr">
        <is>
          <t>100ml</t>
        </is>
      </c>
      <c r="E63" s="14">
        <f>IF(AND(A63&lt;&gt;"",B63&lt;&gt;"",D63&lt;&gt;""),UPPER(SUBSTITUTE(A63," ","-"))&amp;"-"&amp;UPPER(SUBSTITUTE(B63," ","-"))&amp;"-"&amp;UPPER(SUBSTITUTE(D63," ","-")),"")</f>
        <v/>
      </c>
      <c r="F63" s="14" t="inlineStr">
        <is>
          <t>200100008220</t>
        </is>
      </c>
      <c r="G63" s="15" t="n">
        <v>150</v>
      </c>
      <c r="H63" s="15" t="n">
        <v>82</v>
      </c>
      <c r="I63" s="16" t="n">
        <v>10</v>
      </c>
      <c r="J63" s="17" t="inlineStr">
        <is>
          <t>Amber/Oriental</t>
        </is>
      </c>
      <c r="K63" s="17" t="inlineStr">
        <is>
          <t>Pink Pepper, Neroli, Lemon</t>
        </is>
      </c>
      <c r="L63" s="17" t="inlineStr">
        <is>
          <t>Rum, Clary Sage, Vetiver</t>
        </is>
      </c>
      <c r="M63" s="17" t="inlineStr">
        <is>
          <t>Tobacco, Vanilla, Styrax</t>
        </is>
      </c>
      <c r="N63" s="17" t="inlineStr">
        <is>
          <t>Unisex</t>
        </is>
      </c>
      <c r="O63" s="17" t="inlineStr">
        <is>
          <t>Opens with pink pepper, neroli and lemon, moves through rum and clary sage, settles into tobacco and vanilla. Warm and resinous, glowing rather than shouting — built to wear well on anyone, light enough for daytime, with a few hours of wear.</t>
        </is>
      </c>
    </row>
    <row r="64" ht="15" customHeight="1" s="11">
      <c r="A64" s="14" t="inlineStr">
        <is>
          <t>Maison Margiela</t>
        </is>
      </c>
      <c r="B64" s="14" t="inlineStr">
        <is>
          <t>Replica By the Fireplace</t>
        </is>
      </c>
      <c r="C64" s="14" t="inlineStr">
        <is>
          <t>EDT</t>
        </is>
      </c>
      <c r="D64" s="14" t="inlineStr">
        <is>
          <t>100ml</t>
        </is>
      </c>
      <c r="E64" s="14">
        <f>IF(AND(A64&lt;&gt;"",B64&lt;&gt;"",D64&lt;&gt;""),UPPER(SUBSTITUTE(A64," ","-"))&amp;"-"&amp;UPPER(SUBSTITUTE(B64," ","-"))&amp;"-"&amp;UPPER(SUBSTITUTE(D64," ","-")),"")</f>
        <v/>
      </c>
      <c r="F64" s="14" t="inlineStr">
        <is>
          <t>200100008357</t>
        </is>
      </c>
      <c r="G64" s="15" t="n">
        <v>150</v>
      </c>
      <c r="H64" s="15" t="n">
        <v>82</v>
      </c>
      <c r="I64" s="16" t="n">
        <v>3</v>
      </c>
      <c r="J64" s="17" t="inlineStr">
        <is>
          <t>Gourmand</t>
        </is>
      </c>
      <c r="K64" s="17" t="inlineStr">
        <is>
          <t>Clove, Pink Pepper, Orange</t>
        </is>
      </c>
      <c r="L64" s="17" t="inlineStr">
        <is>
          <t>Chestnut, Guaiac Wood</t>
        </is>
      </c>
      <c r="M64" s="17" t="inlineStr">
        <is>
          <t>Vanilla, Cashmeran, Peru Balsam</t>
        </is>
      </c>
      <c r="N64" s="17" t="inlineStr">
        <is>
          <t>Unisex</t>
        </is>
      </c>
      <c r="O64" s="17" t="inlineStr">
        <is>
          <t>Opens with clove, pink pepper and orange, moves through chestnut and guaiac wood, settles into vanilla and cashmeran. Indulgent and cozy, built around real sweetness — flexible enough for any wardrobe, light enough for daytime, with a few hours of wear.</t>
        </is>
      </c>
    </row>
    <row r="65" ht="15" customHeight="1" s="11">
      <c r="A65" s="14" t="inlineStr">
        <is>
          <t>Creed</t>
        </is>
      </c>
      <c r="B65" s="14" t="inlineStr">
        <is>
          <t>Green Irish Tweed</t>
        </is>
      </c>
      <c r="C65" s="14" t="inlineStr">
        <is>
          <t>EDP</t>
        </is>
      </c>
      <c r="D65" s="14" t="inlineStr">
        <is>
          <t>100ml</t>
        </is>
      </c>
      <c r="E65" s="14">
        <f>IF(AND(A65&lt;&gt;"",B65&lt;&gt;"",D65&lt;&gt;""),UPPER(SUBSTITUTE(A65," ","-"))&amp;"-"&amp;UPPER(SUBSTITUTE(B65," ","-"))&amp;"-"&amp;UPPER(SUBSTITUTE(D65," ","-")),"")</f>
        <v/>
      </c>
      <c r="F65" s="14" t="inlineStr">
        <is>
          <t>200100008494</t>
        </is>
      </c>
      <c r="G65" s="15" t="n">
        <v>395</v>
      </c>
      <c r="H65" s="15" t="n">
        <v>217</v>
      </c>
      <c r="I65" s="16" t="n">
        <v>8</v>
      </c>
      <c r="J65" s="17" t="inlineStr">
        <is>
          <t>Fougère</t>
        </is>
      </c>
      <c r="K65" s="17" t="inlineStr">
        <is>
          <t>Lemon, Verbena</t>
        </is>
      </c>
      <c r="L65" s="17" t="inlineStr">
        <is>
          <t>Violet Leaf, Iris</t>
        </is>
      </c>
      <c r="M65" s="17" t="inlineStr">
        <is>
          <t>Sandalwood, Ambergris</t>
        </is>
      </c>
      <c r="N65" s="17" t="inlineStr">
        <is>
          <t>Masculine</t>
        </is>
      </c>
      <c r="O65" s="17" t="inlineStr">
        <is>
          <t>Opens with lemon and verbena, moves through violet leaf and iris, settles into sandalwood and ambergris. Crisp and herbal with a soapy, clean-shaven finish — a confident one-bottle-does-it-all choice, concentrated enough to carry into the evening.</t>
        </is>
      </c>
    </row>
    <row r="66" ht="15" customHeight="1" s="11">
      <c r="A66" s="14" t="inlineStr">
        <is>
          <t>Creed</t>
        </is>
      </c>
      <c r="B66" s="14" t="inlineStr">
        <is>
          <t>Silver Mountain Water</t>
        </is>
      </c>
      <c r="C66" s="14" t="inlineStr">
        <is>
          <t>EDP</t>
        </is>
      </c>
      <c r="D66" s="14" t="inlineStr">
        <is>
          <t>100ml</t>
        </is>
      </c>
      <c r="E66" s="14">
        <f>IF(AND(A66&lt;&gt;"",B66&lt;&gt;"",D66&lt;&gt;""),UPPER(SUBSTITUTE(A66," ","-"))&amp;"-"&amp;UPPER(SUBSTITUTE(B66," ","-"))&amp;"-"&amp;UPPER(SUBSTITUTE(D66," ","-")),"")</f>
        <v/>
      </c>
      <c r="F66" s="14" t="inlineStr">
        <is>
          <t>200100008631</t>
        </is>
      </c>
      <c r="G66" s="15" t="n">
        <v>410</v>
      </c>
      <c r="H66" s="15" t="n">
        <v>226</v>
      </c>
      <c r="I66" s="16" t="n">
        <v>3</v>
      </c>
      <c r="J66" s="17" t="inlineStr">
        <is>
          <t>Fresh/Aquatic</t>
        </is>
      </c>
      <c r="K66" s="17" t="inlineStr">
        <is>
          <t>Bergamot, Mandarin</t>
        </is>
      </c>
      <c r="L66" s="17" t="inlineStr">
        <is>
          <t>Green Tea, Blackcurrant</t>
        </is>
      </c>
      <c r="M66" s="17" t="inlineStr">
        <is>
          <t>Musk, Sandalwood, Galbanum</t>
        </is>
      </c>
      <c r="N66" s="17" t="inlineStr">
        <is>
          <t>Unisex</t>
        </is>
      </c>
      <c r="O66" s="17" t="inlineStr">
        <is>
          <t>Opens with bergamot and mandarin, moves through green tea and blackcurrant, settles into musk and sandalwood. Clean and breezy, the fragrance equivalent of an open window — genuinely unisex, no gendered marketing required, concentrated enough to carry into the evening.</t>
        </is>
      </c>
    </row>
    <row r="67" ht="15" customHeight="1" s="11">
      <c r="A67" s="14" t="inlineStr">
        <is>
          <t>Parfums de Marly</t>
        </is>
      </c>
      <c r="B67" s="14" t="inlineStr">
        <is>
          <t>Layton</t>
        </is>
      </c>
      <c r="C67" s="14" t="inlineStr">
        <is>
          <t>EDP</t>
        </is>
      </c>
      <c r="D67" s="14" t="inlineStr">
        <is>
          <t>125ml</t>
        </is>
      </c>
      <c r="E67" s="14">
        <f>IF(AND(A67&lt;&gt;"",B67&lt;&gt;"",D67&lt;&gt;""),UPPER(SUBSTITUTE(A67," ","-"))&amp;"-"&amp;UPPER(SUBSTITUTE(B67," ","-"))&amp;"-"&amp;UPPER(SUBSTITUTE(D67," ","-")),"")</f>
        <v/>
      </c>
      <c r="F67" s="14" t="inlineStr">
        <is>
          <t>200100008768</t>
        </is>
      </c>
      <c r="G67" s="15" t="n">
        <v>340</v>
      </c>
      <c r="H67" s="15" t="n">
        <v>187</v>
      </c>
      <c r="I67" s="16" t="n">
        <v>10</v>
      </c>
      <c r="J67" s="17" t="inlineStr">
        <is>
          <t>Amber/Oriental</t>
        </is>
      </c>
      <c r="K67" s="17" t="inlineStr">
        <is>
          <t>Apple, Bergamot, Lavender</t>
        </is>
      </c>
      <c r="L67" s="17" t="inlineStr">
        <is>
          <t>Geranium, Violet, Jasmine</t>
        </is>
      </c>
      <c r="M67" s="17" t="inlineStr">
        <is>
          <t>Vanilla, Sandalwood, Guaiac Wood, Pepper</t>
        </is>
      </c>
      <c r="N67" s="17" t="inlineStr">
        <is>
          <t>Masculine</t>
        </is>
      </c>
      <c r="O67" s="17" t="inlineStr">
        <is>
          <t>Opens with apple, bergamot and lavender, moves through geranium and violet, settles into vanilla and sandalwood. Rich and enveloping, built for cooler nights — an easy, no-fuss pick for daily wear, concentrated enough to carry into the evening.</t>
        </is>
      </c>
    </row>
    <row r="68" ht="15" customHeight="1" s="11">
      <c r="A68" s="14" t="inlineStr">
        <is>
          <t>Parfums de Marly</t>
        </is>
      </c>
      <c r="B68" s="14" t="inlineStr">
        <is>
          <t>Delina</t>
        </is>
      </c>
      <c r="C68" s="14" t="inlineStr">
        <is>
          <t>EDP</t>
        </is>
      </c>
      <c r="D68" s="14" t="inlineStr">
        <is>
          <t>75ml</t>
        </is>
      </c>
      <c r="E68" s="14">
        <f>IF(AND(A68&lt;&gt;"",B68&lt;&gt;"",D68&lt;&gt;""),UPPER(SUBSTITUTE(A68," ","-"))&amp;"-"&amp;UPPER(SUBSTITUTE(B68," ","-"))&amp;"-"&amp;UPPER(SUBSTITUTE(D68," ","-")),"")</f>
        <v/>
      </c>
      <c r="F68" s="14" t="inlineStr">
        <is>
          <t>200100008905</t>
        </is>
      </c>
      <c r="G68" s="15" t="n">
        <v>295</v>
      </c>
      <c r="H68" s="15" t="n">
        <v>162</v>
      </c>
      <c r="I68" s="16" t="n">
        <v>6</v>
      </c>
      <c r="J68" s="17" t="inlineStr">
        <is>
          <t>Floral</t>
        </is>
      </c>
      <c r="K68" s="17" t="inlineStr">
        <is>
          <t>Litchi, Rhubarb, Bergamot</t>
        </is>
      </c>
      <c r="L68" s="17" t="inlineStr">
        <is>
          <t>Turkish Rose, Peony, Lily of the Valley</t>
        </is>
      </c>
      <c r="M68" s="17" t="inlineStr">
        <is>
          <t>Vanilla, Musk, Cashmeran</t>
        </is>
      </c>
      <c r="N68" s="17" t="inlineStr">
        <is>
          <t>Feminine</t>
        </is>
      </c>
      <c r="O68" s="17" t="inlineStr">
        <is>
          <t>Opens with litchi, rhubarb and bergamot, moves through turkish rose and peony, settles into vanilla and musk. Romantic and airy, blooming outward as it wears — a confident one-bottle-does-it-all pick, concentrated enough to carry into the evening.</t>
        </is>
      </c>
    </row>
    <row r="69" ht="15" customHeight="1" s="11">
      <c r="A69" s="14" t="inlineStr">
        <is>
          <t>Initio</t>
        </is>
      </c>
      <c r="B69" s="14" t="inlineStr">
        <is>
          <t>Oud for Greatness</t>
        </is>
      </c>
      <c r="C69" s="14" t="inlineStr">
        <is>
          <t>EDP</t>
        </is>
      </c>
      <c r="D69" s="14" t="inlineStr">
        <is>
          <t>90ml</t>
        </is>
      </c>
      <c r="E69" s="14">
        <f>IF(AND(A69&lt;&gt;"",B69&lt;&gt;"",D69&lt;&gt;""),UPPER(SUBSTITUTE(A69," ","-"))&amp;"-"&amp;UPPER(SUBSTITUTE(B69," ","-"))&amp;"-"&amp;UPPER(SUBSTITUTE(D69," ","-")),"")</f>
        <v/>
      </c>
      <c r="F69" s="14" t="inlineStr">
        <is>
          <t>200100009042</t>
        </is>
      </c>
      <c r="G69" s="15" t="n">
        <v>360</v>
      </c>
      <c r="H69" s="15" t="n">
        <v>198</v>
      </c>
      <c r="I69" s="16" t="n">
        <v>12</v>
      </c>
      <c r="J69" s="17" t="inlineStr">
        <is>
          <t>Woody</t>
        </is>
      </c>
      <c r="K69" s="17" t="inlineStr">
        <is>
          <t>Saffron, Nutmeg</t>
        </is>
      </c>
      <c r="L69" s="17" t="inlineStr">
        <is>
          <t>Oud, Patchouli</t>
        </is>
      </c>
      <c r="M69" s="17" t="inlineStr">
        <is>
          <t>Musk, Sandalwood</t>
        </is>
      </c>
      <c r="N69" s="17" t="inlineStr">
        <is>
          <t>Unisex</t>
        </is>
      </c>
      <c r="O69" s="17" t="inlineStr">
        <is>
          <t>Opens with saffron and nutmeg, moves through oud and patchouli, settles into musk and sandalwood. Smooth and confident, fills a room quietly — genuinely unisex, no gendered marketing required, concentrated enough to carry into the evening.</t>
        </is>
      </c>
    </row>
    <row r="70" ht="15" customHeight="1" s="11">
      <c r="A70" s="14" t="inlineStr">
        <is>
          <t>Xerjoff</t>
        </is>
      </c>
      <c r="B70" s="14" t="inlineStr">
        <is>
          <t>Naxos</t>
        </is>
      </c>
      <c r="C70" s="14" t="inlineStr">
        <is>
          <t>EDP</t>
        </is>
      </c>
      <c r="D70" s="14" t="inlineStr">
        <is>
          <t>100ml</t>
        </is>
      </c>
      <c r="E70" s="14">
        <f>IF(AND(A70&lt;&gt;"",B70&lt;&gt;"",D70&lt;&gt;""),UPPER(SUBSTITUTE(A70," ","-"))&amp;"-"&amp;UPPER(SUBSTITUTE(B70," ","-"))&amp;"-"&amp;UPPER(SUBSTITUTE(D70," ","-")),"")</f>
        <v/>
      </c>
      <c r="F70" s="14" t="inlineStr">
        <is>
          <t>200100009179</t>
        </is>
      </c>
      <c r="G70" s="15" t="n">
        <v>285</v>
      </c>
      <c r="H70" s="15" t="n">
        <v>157</v>
      </c>
      <c r="I70" s="16" t="n">
        <v>11</v>
      </c>
      <c r="J70" s="17" t="inlineStr">
        <is>
          <t>Amber/Oriental</t>
        </is>
      </c>
      <c r="K70" s="17" t="inlineStr">
        <is>
          <t>Bergamot, Lavender, Lemon</t>
        </is>
      </c>
      <c r="L70" s="17" t="inlineStr">
        <is>
          <t>Honey, Cinnamon, Tobacco</t>
        </is>
      </c>
      <c r="M70" s="17" t="inlineStr">
        <is>
          <t>Tonka, Vanilla, Cashmeran</t>
        </is>
      </c>
      <c r="N70" s="17" t="inlineStr">
        <is>
          <t>Masculine</t>
        </is>
      </c>
      <c r="O70" s="17" t="inlineStr">
        <is>
          <t>Opens with bergamot, lavender and lemon, moves through honey and cinnamon, settles into tonka and vanilla. Warm and resinous, glowing rather than shouting — a dependable, everyday men's signature, concentrated enough to carry into the evening.</t>
        </is>
      </c>
    </row>
    <row r="71" ht="15" customHeight="1" s="11">
      <c r="A71" s="14" t="inlineStr">
        <is>
          <t>Versace</t>
        </is>
      </c>
      <c r="B71" s="14" t="inlineStr">
        <is>
          <t>Eros Flame</t>
        </is>
      </c>
      <c r="C71" s="14" t="inlineStr">
        <is>
          <t>EDP</t>
        </is>
      </c>
      <c r="D71" s="14" t="inlineStr">
        <is>
          <t>100ml</t>
        </is>
      </c>
      <c r="E71" s="14">
        <f>IF(AND(A71&lt;&gt;"",B71&lt;&gt;"",D71&lt;&gt;""),UPPER(SUBSTITUTE(A71," ","-"))&amp;"-"&amp;UPPER(SUBSTITUTE(B71," ","-"))&amp;"-"&amp;UPPER(SUBSTITUTE(D71," ","-")),"")</f>
        <v/>
      </c>
      <c r="F71" s="14" t="inlineStr">
        <is>
          <t>200100009316</t>
        </is>
      </c>
      <c r="G71" s="15" t="n">
        <v>90</v>
      </c>
      <c r="H71" s="15" t="n">
        <v>50</v>
      </c>
      <c r="I71" s="16" t="n">
        <v>7</v>
      </c>
      <c r="J71" s="17" t="inlineStr">
        <is>
          <t>Amber/Oriental</t>
        </is>
      </c>
      <c r="K71" s="17" t="inlineStr">
        <is>
          <t>Black Pepper, Lemon, Mandarin</t>
        </is>
      </c>
      <c r="L71" s="17" t="inlineStr">
        <is>
          <t>Rose, Geranium, Pepperwood</t>
        </is>
      </c>
      <c r="M71" s="17" t="inlineStr">
        <is>
          <t>Tonka, Vanilla, Sandalwood, Cedar</t>
        </is>
      </c>
      <c r="N71" s="17" t="inlineStr">
        <is>
          <t>Masculine</t>
        </is>
      </c>
      <c r="O71" s="17" t="inlineStr">
        <is>
          <t>Opens with black pepper, lemon and mandarin, moves through rose and geranium, settles into tonka and vanilla. Spiced and sensual, the kind of scent people lean in for — a confident one-bottle-does-it-all choice, concentrated enough to carry into the evening.</t>
        </is>
      </c>
    </row>
    <row r="72" ht="15" customHeight="1" s="11">
      <c r="A72" s="14" t="inlineStr">
        <is>
          <t>Valentino</t>
        </is>
      </c>
      <c r="B72" s="14" t="inlineStr">
        <is>
          <t>Uomo Born in Roma</t>
        </is>
      </c>
      <c r="C72" s="14" t="inlineStr">
        <is>
          <t>EDT</t>
        </is>
      </c>
      <c r="D72" s="14" t="inlineStr">
        <is>
          <t>100ml</t>
        </is>
      </c>
      <c r="E72" s="14">
        <f>IF(AND(A72&lt;&gt;"",B72&lt;&gt;"",D72&lt;&gt;""),UPPER(SUBSTITUTE(A72," ","-"))&amp;"-"&amp;UPPER(SUBSTITUTE(B72," ","-"))&amp;"-"&amp;UPPER(SUBSTITUTE(D72," ","-")),"")</f>
        <v/>
      </c>
      <c r="F72" s="14" t="inlineStr">
        <is>
          <t>200100009453</t>
        </is>
      </c>
      <c r="G72" s="15" t="n">
        <v>95</v>
      </c>
      <c r="H72" s="15" t="n">
        <v>52</v>
      </c>
      <c r="I72" s="16" t="n">
        <v>11</v>
      </c>
      <c r="J72" s="17" t="inlineStr">
        <is>
          <t>Aromatic</t>
        </is>
      </c>
      <c r="K72" s="17" t="inlineStr">
        <is>
          <t>Ginger, Bergamot</t>
        </is>
      </c>
      <c r="L72" s="17" t="inlineStr">
        <is>
          <t>Sage, Violet Leaf</t>
        </is>
      </c>
      <c r="M72" s="17" t="inlineStr">
        <is>
          <t>Vetiver, Woods, Tonka</t>
        </is>
      </c>
      <c r="N72" s="17" t="inlineStr">
        <is>
          <t>Masculine</t>
        </is>
      </c>
      <c r="O72" s="17" t="inlineStr">
        <is>
          <t>Opens with ginger and bergamot, moves through sage and violet leaf, settles into vetiver and woods. Herbal and crisp, with a peppery, energetic edge — a dependable, everyday men's signature, light enough for daytime, with a few hours of wear.</t>
        </is>
      </c>
    </row>
    <row r="73" ht="15" customHeight="1" s="11">
      <c r="A73" s="14" t="inlineStr">
        <is>
          <t>Valentino</t>
        </is>
      </c>
      <c r="B73" s="14" t="inlineStr">
        <is>
          <t>Donna Born in Roma</t>
        </is>
      </c>
      <c r="C73" s="14" t="inlineStr">
        <is>
          <t>EDP</t>
        </is>
      </c>
      <c r="D73" s="14" t="inlineStr">
        <is>
          <t>100ml</t>
        </is>
      </c>
      <c r="E73" s="14">
        <f>IF(AND(A73&lt;&gt;"",B73&lt;&gt;"",D73&lt;&gt;""),UPPER(SUBSTITUTE(A73," ","-"))&amp;"-"&amp;UPPER(SUBSTITUTE(B73," ","-"))&amp;"-"&amp;UPPER(SUBSTITUTE(D73," ","-")),"")</f>
        <v/>
      </c>
      <c r="F73" s="14" t="inlineStr">
        <is>
          <t>200100009590</t>
        </is>
      </c>
      <c r="G73" s="15" t="n">
        <v>110</v>
      </c>
      <c r="H73" s="15" t="n">
        <v>61</v>
      </c>
      <c r="I73" s="16" t="n">
        <v>5</v>
      </c>
      <c r="J73" s="17" t="inlineStr">
        <is>
          <t>Floral</t>
        </is>
      </c>
      <c r="K73" s="17" t="inlineStr">
        <is>
          <t>Blackcurrant, Jasmine</t>
        </is>
      </c>
      <c r="L73" s="17" t="inlineStr">
        <is>
          <t>Jasmine, Bourbon Vanilla</t>
        </is>
      </c>
      <c r="M73" s="17" t="inlineStr">
        <is>
          <t>Woods, Musk</t>
        </is>
      </c>
      <c r="N73" s="17" t="inlineStr">
        <is>
          <t>Feminine</t>
        </is>
      </c>
      <c r="O73" s="17" t="inlineStr">
        <is>
          <t>Opens with blackcurrant and jasmine, moves through jasmine and bourbon vanilla, settles into woods and musk. Soft-petaled and radiant, built around a true floral heart — a versatile, everyday signature, concentrated enough to carry into the evening.</t>
        </is>
      </c>
    </row>
    <row r="74" ht="15" customHeight="1" s="11">
      <c r="A74" s="14" t="inlineStr">
        <is>
          <t>Givenchy</t>
        </is>
      </c>
      <c r="B74" s="14" t="inlineStr">
        <is>
          <t>Gentleman</t>
        </is>
      </c>
      <c r="C74" s="14" t="inlineStr">
        <is>
          <t>EDP</t>
        </is>
      </c>
      <c r="D74" s="14" t="inlineStr">
        <is>
          <t>100ml</t>
        </is>
      </c>
      <c r="E74" s="14">
        <f>IF(AND(A74&lt;&gt;"",B74&lt;&gt;"",D74&lt;&gt;""),UPPER(SUBSTITUTE(A74," ","-"))&amp;"-"&amp;UPPER(SUBSTITUTE(B74," ","-"))&amp;"-"&amp;UPPER(SUBSTITUTE(D74," ","-")),"")</f>
        <v/>
      </c>
      <c r="F74" s="14" t="inlineStr">
        <is>
          <t>200100009727</t>
        </is>
      </c>
      <c r="G74" s="15" t="n">
        <v>105</v>
      </c>
      <c r="H74" s="15" t="n">
        <v>58</v>
      </c>
      <c r="I74" s="16" t="n">
        <v>13</v>
      </c>
      <c r="J74" s="17" t="inlineStr">
        <is>
          <t>Amber/Oriental</t>
        </is>
      </c>
      <c r="K74" s="17" t="inlineStr">
        <is>
          <t>Pear, Cardamom, Iris</t>
        </is>
      </c>
      <c r="L74" s="17" t="inlineStr">
        <is>
          <t>Iris, Lavender</t>
        </is>
      </c>
      <c r="M74" s="17" t="inlineStr">
        <is>
          <t>Patchouli, Leather, Black Vanilla</t>
        </is>
      </c>
      <c r="N74" s="17" t="inlineStr">
        <is>
          <t>Masculine</t>
        </is>
      </c>
      <c r="O74" s="17" t="inlineStr">
        <is>
          <t>Opens with pear, cardamom and iris, moves through iris and lavender, settles into patchouli and leather. Rich and enveloping, built for cooler nights — an easy, no-fuss pick for daily wear, concentrated enough to carry into the evening.</t>
        </is>
      </c>
    </row>
    <row r="75" ht="15" customHeight="1" s="11">
      <c r="A75" s="14" t="inlineStr">
        <is>
          <t>Hugo Boss</t>
        </is>
      </c>
      <c r="B75" s="14" t="inlineStr">
        <is>
          <t>Boss Bottled</t>
        </is>
      </c>
      <c r="C75" s="14" t="inlineStr">
        <is>
          <t>EDT</t>
        </is>
      </c>
      <c r="D75" s="14" t="inlineStr">
        <is>
          <t>100ml</t>
        </is>
      </c>
      <c r="E75" s="14">
        <f>IF(AND(A75&lt;&gt;"",B75&lt;&gt;"",D75&lt;&gt;""),UPPER(SUBSTITUTE(A75," ","-"))&amp;"-"&amp;UPPER(SUBSTITUTE(B75," ","-"))&amp;"-"&amp;UPPER(SUBSTITUTE(D75," ","-")),"")</f>
        <v/>
      </c>
      <c r="F75" s="14" t="inlineStr">
        <is>
          <t>200100009864</t>
        </is>
      </c>
      <c r="G75" s="15" t="n">
        <v>90</v>
      </c>
      <c r="H75" s="15" t="n">
        <v>50</v>
      </c>
      <c r="I75" s="16" t="n">
        <v>3</v>
      </c>
      <c r="J75" s="17" t="inlineStr">
        <is>
          <t>Woody</t>
        </is>
      </c>
      <c r="K75" s="17" t="inlineStr">
        <is>
          <t>Apple, Bergamot, Lemon</t>
        </is>
      </c>
      <c r="L75" s="17" t="inlineStr">
        <is>
          <t>Cinnamon, Clove, Geranium</t>
        </is>
      </c>
      <c r="M75" s="17" t="inlineStr">
        <is>
          <t>Sandalwood, Vetiver, Vanilla</t>
        </is>
      </c>
      <c r="N75" s="17" t="inlineStr">
        <is>
          <t>Masculine</t>
        </is>
      </c>
      <c r="O75" s="17" t="inlineStr">
        <is>
          <t>Opens with apple, bergamot and lemon, moves through cinnamon and clove, settles into sandalwood and vetiver. Warm and grounded, built around a real wood backbone — a dependable, everyday men's signature, light enough for daytime, with a few hours of wear.</t>
        </is>
      </c>
    </row>
    <row r="76" ht="15" customHeight="1" s="11">
      <c r="A76" s="14" t="inlineStr">
        <is>
          <t>Hugo Boss</t>
        </is>
      </c>
      <c r="B76" s="14" t="inlineStr">
        <is>
          <t>Boss Bottled Parfum</t>
        </is>
      </c>
      <c r="C76" s="14" t="inlineStr">
        <is>
          <t>Parfum</t>
        </is>
      </c>
      <c r="D76" s="14" t="inlineStr">
        <is>
          <t>100ml</t>
        </is>
      </c>
      <c r="E76" s="14">
        <f>IF(AND(A76&lt;&gt;"",B76&lt;&gt;"",D76&lt;&gt;""),UPPER(SUBSTITUTE(A76," ","-"))&amp;"-"&amp;UPPER(SUBSTITUTE(B76," ","-"))&amp;"-"&amp;UPPER(SUBSTITUTE(D76," ","-")),"")</f>
        <v/>
      </c>
      <c r="F76" s="14" t="inlineStr">
        <is>
          <t>200100010001</t>
        </is>
      </c>
      <c r="G76" s="15" t="n">
        <v>110</v>
      </c>
      <c r="H76" s="15" t="n">
        <v>61</v>
      </c>
      <c r="I76" s="16" t="n">
        <v>2</v>
      </c>
      <c r="J76" s="17" t="inlineStr">
        <is>
          <t>Woody</t>
        </is>
      </c>
      <c r="K76" s="17" t="inlineStr">
        <is>
          <t>Fresh Notes</t>
        </is>
      </c>
      <c r="L76" s="17" t="inlineStr">
        <is>
          <t>Elemi, Ginger</t>
        </is>
      </c>
      <c r="M76" s="17" t="inlineStr">
        <is>
          <t>Cedar, Vanilla</t>
        </is>
      </c>
      <c r="N76" s="17" t="inlineStr">
        <is>
          <t>Masculine</t>
        </is>
      </c>
      <c r="O76" s="17" t="inlineStr">
        <is>
          <t>Opens with fresh notes, moves through elemi and ginger, settles into cedar and vanilla. Smooth and confident, fills a room quietly — an easy, no-fuss pick for daily wear, the most concentrated cut here, built to last all day.</t>
        </is>
      </c>
    </row>
    <row r="77" ht="15" customHeight="1" s="11">
      <c r="A77" s="14" t="inlineStr">
        <is>
          <t>Calvin Klein</t>
        </is>
      </c>
      <c r="B77" s="14" t="inlineStr">
        <is>
          <t>CK One</t>
        </is>
      </c>
      <c r="C77" s="14" t="inlineStr">
        <is>
          <t>Cologne</t>
        </is>
      </c>
      <c r="D77" s="14" t="inlineStr">
        <is>
          <t>100ml</t>
        </is>
      </c>
      <c r="E77" s="14">
        <f>IF(AND(A77&lt;&gt;"",B77&lt;&gt;"",D77&lt;&gt;""),UPPER(SUBSTITUTE(A77," ","-"))&amp;"-"&amp;UPPER(SUBSTITUTE(B77," ","-"))&amp;"-"&amp;UPPER(SUBSTITUTE(D77," ","-")),"")</f>
        <v/>
      </c>
      <c r="F77" s="14" t="inlineStr">
        <is>
          <t>200100010138</t>
        </is>
      </c>
      <c r="G77" s="15" t="n">
        <v>65</v>
      </c>
      <c r="H77" s="15" t="n">
        <v>36</v>
      </c>
      <c r="I77" s="16" t="n">
        <v>12</v>
      </c>
      <c r="J77" s="17" t="inlineStr">
        <is>
          <t>Citrus</t>
        </is>
      </c>
      <c r="K77" s="17" t="inlineStr">
        <is>
          <t>Lemon, Bergamot, Pineapple, Mandarin</t>
        </is>
      </c>
      <c r="L77" s="17" t="inlineStr">
        <is>
          <t>Nutmeg, Violet, Rose</t>
        </is>
      </c>
      <c r="M77" s="17" t="inlineStr">
        <is>
          <t>Musk, Amber, Sandalwood</t>
        </is>
      </c>
      <c r="N77" s="17" t="inlineStr">
        <is>
          <t>Unisex</t>
        </is>
      </c>
      <c r="O77" s="17" t="inlineStr">
        <is>
          <t>Opens with lemon, bergamot and pineapple, moves through nutmeg and violet, settles into musk and amber. Sunlit and clean, never heavy — flexible enough for any wardrobe, a lighter, splashier cut, best refreshed through the day.</t>
        </is>
      </c>
    </row>
    <row r="78" ht="15" customHeight="1" s="11">
      <c r="A78" s="14" t="inlineStr">
        <is>
          <t>Calvin Klein</t>
        </is>
      </c>
      <c r="B78" s="14" t="inlineStr">
        <is>
          <t>Eternity for Men</t>
        </is>
      </c>
      <c r="C78" s="14" t="inlineStr">
        <is>
          <t>EDT</t>
        </is>
      </c>
      <c r="D78" s="14" t="inlineStr">
        <is>
          <t>100ml</t>
        </is>
      </c>
      <c r="E78" s="14">
        <f>IF(AND(A78&lt;&gt;"",B78&lt;&gt;"",D78&lt;&gt;""),UPPER(SUBSTITUTE(A78," ","-"))&amp;"-"&amp;UPPER(SUBSTITUTE(B78," ","-"))&amp;"-"&amp;UPPER(SUBSTITUTE(D78," ","-")),"")</f>
        <v/>
      </c>
      <c r="F78" s="14" t="inlineStr">
        <is>
          <t>200100010275</t>
        </is>
      </c>
      <c r="G78" s="15" t="n">
        <v>70</v>
      </c>
      <c r="H78" s="15" t="n">
        <v>38</v>
      </c>
      <c r="I78" s="16" t="n">
        <v>5</v>
      </c>
      <c r="J78" s="17" t="inlineStr">
        <is>
          <t>Fougère</t>
        </is>
      </c>
      <c r="K78" s="17" t="inlineStr">
        <is>
          <t>Lavender, Mandarin, Bergamot</t>
        </is>
      </c>
      <c r="L78" s="17" t="inlineStr">
        <is>
          <t>Sage, Coriander, Basil</t>
        </is>
      </c>
      <c r="M78" s="17" t="inlineStr">
        <is>
          <t>Sandalwood, Musk, Amber</t>
        </is>
      </c>
      <c r="N78" s="17" t="inlineStr">
        <is>
          <t>Masculine</t>
        </is>
      </c>
      <c r="O78" s="17" t="inlineStr">
        <is>
          <t>Opens with lavender, mandarin and bergamot, moves through sage and coriander, settles into sandalwood and musk. Structured and cool, a modern take on an old formula — an easy, no-fuss pick for daily wear, light enough for daytime, with a few hours of wear.</t>
        </is>
      </c>
    </row>
    <row r="79" ht="15" customHeight="1" s="11">
      <c r="A79" s="14" t="inlineStr">
        <is>
          <t>Ralph Lauren</t>
        </is>
      </c>
      <c r="B79" s="14" t="inlineStr">
        <is>
          <t>Polo Blue</t>
        </is>
      </c>
      <c r="C79" s="14" t="inlineStr">
        <is>
          <t>EDT</t>
        </is>
      </c>
      <c r="D79" s="14" t="inlineStr">
        <is>
          <t>100ml</t>
        </is>
      </c>
      <c r="E79" s="14">
        <f>IF(AND(A79&lt;&gt;"",B79&lt;&gt;"",D79&lt;&gt;""),UPPER(SUBSTITUTE(A79," ","-"))&amp;"-"&amp;UPPER(SUBSTITUTE(B79," ","-"))&amp;"-"&amp;UPPER(SUBSTITUTE(D79," ","-")),"")</f>
        <v/>
      </c>
      <c r="F79" s="14" t="inlineStr">
        <is>
          <t>200100010412</t>
        </is>
      </c>
      <c r="G79" s="15" t="n">
        <v>90</v>
      </c>
      <c r="H79" s="15" t="n">
        <v>50</v>
      </c>
      <c r="I79" s="16" t="n">
        <v>14</v>
      </c>
      <c r="J79" s="17" t="inlineStr">
        <is>
          <t>Fresh/Aquatic</t>
        </is>
      </c>
      <c r="K79" s="17" t="inlineStr">
        <is>
          <t>Melon, Cucumber, Mandarin</t>
        </is>
      </c>
      <c r="L79" s="17" t="inlineStr">
        <is>
          <t>Sage, Geranium, Basil</t>
        </is>
      </c>
      <c r="M79" s="17" t="inlineStr">
        <is>
          <t>Musk, Suede, Woods</t>
        </is>
      </c>
      <c r="N79" s="17" t="inlineStr">
        <is>
          <t>Masculine</t>
        </is>
      </c>
      <c r="O79" s="17" t="inlineStr">
        <is>
          <t>Opens with melon, cucumber and mandarin, moves through sage and geranium, settles into musk and suede. Airy and transparent, built to feel weightless — a confident one-bottle-does-it-all choice, light enough for daytime, with a few hours of wear.</t>
        </is>
      </c>
    </row>
    <row r="80" ht="15" customHeight="1" s="11">
      <c r="A80" s="14" t="inlineStr">
        <is>
          <t>Ralph Lauren</t>
        </is>
      </c>
      <c r="B80" s="14" t="inlineStr">
        <is>
          <t>Polo Red</t>
        </is>
      </c>
      <c r="C80" s="14" t="inlineStr">
        <is>
          <t>EDT</t>
        </is>
      </c>
      <c r="D80" s="14" t="inlineStr">
        <is>
          <t>100ml</t>
        </is>
      </c>
      <c r="E80" s="14">
        <f>IF(AND(A80&lt;&gt;"",B80&lt;&gt;"",D80&lt;&gt;""),UPPER(SUBSTITUTE(A80," ","-"))&amp;"-"&amp;UPPER(SUBSTITUTE(B80," ","-"))&amp;"-"&amp;UPPER(SUBSTITUTE(D80," ","-")),"")</f>
        <v/>
      </c>
      <c r="F80" s="14" t="inlineStr">
        <is>
          <t>200100010549</t>
        </is>
      </c>
      <c r="G80" s="15" t="n">
        <v>95</v>
      </c>
      <c r="H80" s="15" t="n">
        <v>52</v>
      </c>
      <c r="I80" s="16" t="n">
        <v>6</v>
      </c>
      <c r="J80" s="17" t="inlineStr">
        <is>
          <t>Woody</t>
        </is>
      </c>
      <c r="K80" s="17" t="inlineStr">
        <is>
          <t>Cranberry, Italian Lemon, Grapefruit</t>
        </is>
      </c>
      <c r="L80" s="17" t="inlineStr">
        <is>
          <t>Saffron, Sage, Coffee</t>
        </is>
      </c>
      <c r="M80" s="17" t="inlineStr">
        <is>
          <t>Amber, Cedar, Redwood</t>
        </is>
      </c>
      <c r="N80" s="17" t="inlineStr">
        <is>
          <t>Masculine</t>
        </is>
      </c>
      <c r="O80" s="17" t="inlineStr">
        <is>
          <t>Opens with cranberry, italian lemon and grapefruit, moves through saffron and sage, settles into amber and cedar. Dry and textured, more sweater than cologne — a confident one-bottle-does-it-all choice, light enough for daytime, with a few hours of wear.</t>
        </is>
      </c>
    </row>
    <row r="81" ht="15" customHeight="1" s="11">
      <c r="A81" s="14" t="inlineStr">
        <is>
          <t>Prada</t>
        </is>
      </c>
      <c r="B81" s="14" t="inlineStr">
        <is>
          <t>L'Homme</t>
        </is>
      </c>
      <c r="C81" s="14" t="inlineStr">
        <is>
          <t>EDT</t>
        </is>
      </c>
      <c r="D81" s="14" t="inlineStr">
        <is>
          <t>100ml</t>
        </is>
      </c>
      <c r="E81" s="14">
        <f>IF(AND(A81&lt;&gt;"",B81&lt;&gt;"",D81&lt;&gt;""),UPPER(SUBSTITUTE(A81," ","-"))&amp;"-"&amp;UPPER(SUBSTITUTE(B81," ","-"))&amp;"-"&amp;UPPER(SUBSTITUTE(D81," ","-")),"")</f>
        <v/>
      </c>
      <c r="F81" s="14" t="inlineStr">
        <is>
          <t>200100010686</t>
        </is>
      </c>
      <c r="G81" s="15" t="n">
        <v>105</v>
      </c>
      <c r="H81" s="15" t="n">
        <v>58</v>
      </c>
      <c r="I81" s="16" t="n">
        <v>3</v>
      </c>
      <c r="J81" s="17" t="inlineStr">
        <is>
          <t>Floral</t>
        </is>
      </c>
      <c r="K81" s="17" t="inlineStr">
        <is>
          <t>Neroli, Black Pepper, Cardamom</t>
        </is>
      </c>
      <c r="L81" s="17" t="inlineStr">
        <is>
          <t>Iris, Geranium, Violet</t>
        </is>
      </c>
      <c r="M81" s="17" t="inlineStr">
        <is>
          <t>Amber, Patchouli, Cedar</t>
        </is>
      </c>
      <c r="N81" s="17" t="inlineStr">
        <is>
          <t>Masculine</t>
        </is>
      </c>
      <c r="O81" s="17" t="inlineStr">
        <is>
          <t>Opens with neroli, black pepper and cardamom, moves through iris and geranium, settles into amber and patchouli. Delicate but never quiet, a bouquet that lingers — an easy, no-fuss pick for daily wear, light enough for daytime, with a few hours of wear.</t>
        </is>
      </c>
    </row>
    <row r="82" ht="15" customHeight="1" s="11">
      <c r="A82" s="14" t="inlineStr">
        <is>
          <t>Prada</t>
        </is>
      </c>
      <c r="B82" s="14" t="inlineStr">
        <is>
          <t>Luna Rossa Ocean</t>
        </is>
      </c>
      <c r="C82" s="14" t="inlineStr">
        <is>
          <t>EDT</t>
        </is>
      </c>
      <c r="D82" s="14" t="inlineStr">
        <is>
          <t>100ml</t>
        </is>
      </c>
      <c r="E82" s="14">
        <f>IF(AND(A82&lt;&gt;"",B82&lt;&gt;"",D82&lt;&gt;""),UPPER(SUBSTITUTE(A82," ","-"))&amp;"-"&amp;UPPER(SUBSTITUTE(B82," ","-"))&amp;"-"&amp;UPPER(SUBSTITUTE(D82," ","-")),"")</f>
        <v/>
      </c>
      <c r="F82" s="14" t="inlineStr">
        <is>
          <t>200100010823</t>
        </is>
      </c>
      <c r="G82" s="15" t="n">
        <v>100</v>
      </c>
      <c r="H82" s="15" t="n">
        <v>55</v>
      </c>
      <c r="I82" s="16" t="n">
        <v>5</v>
      </c>
      <c r="J82" s="17" t="inlineStr">
        <is>
          <t>Fresh/Aquatic</t>
        </is>
      </c>
      <c r="K82" s="17" t="inlineStr">
        <is>
          <t>Bergamot, Ambrette</t>
        </is>
      </c>
      <c r="L82" s="17" t="inlineStr">
        <is>
          <t>Sage, Agarwood</t>
        </is>
      </c>
      <c r="M82" s="17" t="inlineStr">
        <is>
          <t>Musk, Ambroxan, Patchouli</t>
        </is>
      </c>
      <c r="N82" s="17" t="inlineStr">
        <is>
          <t>Masculine</t>
        </is>
      </c>
      <c r="O82" s="17" t="inlineStr">
        <is>
          <t>Opens with bergamot and ambrette, moves through sage and agarwood, settles into musk and ambroxan. Cool and marine, like sea spray on skin — a dependable, everyday men's signature, light enough for daytime, with a few hours of wear.</t>
        </is>
      </c>
    </row>
    <row r="83" ht="15" customHeight="1" s="11">
      <c r="A83" s="14" t="inlineStr">
        <is>
          <t>Burberry</t>
        </is>
      </c>
      <c r="B83" s="14" t="inlineStr">
        <is>
          <t>Mr. Burberry</t>
        </is>
      </c>
      <c r="C83" s="14" t="inlineStr">
        <is>
          <t>EDT</t>
        </is>
      </c>
      <c r="D83" s="14" t="inlineStr">
        <is>
          <t>100ml</t>
        </is>
      </c>
      <c r="E83" s="14">
        <f>IF(AND(A83&lt;&gt;"",B83&lt;&gt;"",D83&lt;&gt;""),UPPER(SUBSTITUTE(A83," ","-"))&amp;"-"&amp;UPPER(SUBSTITUTE(B83," ","-"))&amp;"-"&amp;UPPER(SUBSTITUTE(D83," ","-")),"")</f>
        <v/>
      </c>
      <c r="F83" s="14" t="inlineStr">
        <is>
          <t>200100010960</t>
        </is>
      </c>
      <c r="G83" s="15" t="n">
        <v>95</v>
      </c>
      <c r="H83" s="15" t="n">
        <v>52</v>
      </c>
      <c r="I83" s="16" t="n">
        <v>3</v>
      </c>
      <c r="J83" s="17" t="inlineStr">
        <is>
          <t>Aromatic</t>
        </is>
      </c>
      <c r="K83" s="17" t="inlineStr">
        <is>
          <t>Grapefruit, Cardamom, Tarragon</t>
        </is>
      </c>
      <c r="L83" s="17" t="inlineStr">
        <is>
          <t>Birch Leaf, Nutmeg, Lavender</t>
        </is>
      </c>
      <c r="M83" s="17" t="inlineStr">
        <is>
          <t>Vetiver, Guaiac Wood, Cedar</t>
        </is>
      </c>
      <c r="N83" s="17" t="inlineStr">
        <is>
          <t>Masculine</t>
        </is>
      </c>
      <c r="O83" s="17" t="inlineStr">
        <is>
          <t>Opens with grapefruit, cardamom and tarragon, moves through birch leaf and nutmeg, settles into vetiver and guaiac wood. Brisk and confident, the classic aromatic snap — a confident one-bottle-does-it-all choice, light enough for daytime, with a few hours of wear.</t>
        </is>
      </c>
    </row>
    <row r="84" ht="15" customHeight="1" s="11">
      <c r="A84" s="14" t="inlineStr">
        <is>
          <t>Issey Miyake</t>
        </is>
      </c>
      <c r="B84" s="14" t="inlineStr">
        <is>
          <t>L'Eau d'Issey Pour Homme</t>
        </is>
      </c>
      <c r="C84" s="14" t="inlineStr">
        <is>
          <t>EDT</t>
        </is>
      </c>
      <c r="D84" s="14" t="inlineStr">
        <is>
          <t>100ml</t>
        </is>
      </c>
      <c r="E84" s="14">
        <f>IF(AND(A84&lt;&gt;"",B84&lt;&gt;"",D84&lt;&gt;""),UPPER(SUBSTITUTE(A84," ","-"))&amp;"-"&amp;UPPER(SUBSTITUTE(B84," ","-"))&amp;"-"&amp;UPPER(SUBSTITUTE(D84," ","-")),"")</f>
        <v/>
      </c>
      <c r="F84" s="14" t="inlineStr">
        <is>
          <t>200100011097</t>
        </is>
      </c>
      <c r="G84" s="15" t="n">
        <v>85</v>
      </c>
      <c r="H84" s="15" t="n">
        <v>47</v>
      </c>
      <c r="I84" s="16" t="n">
        <v>8</v>
      </c>
      <c r="J84" s="17" t="inlineStr">
        <is>
          <t>Fresh/Aquatic</t>
        </is>
      </c>
      <c r="K84" s="17" t="inlineStr">
        <is>
          <t>Yuzu, Bergamot, Cypress</t>
        </is>
      </c>
      <c r="L84" s="17" t="inlineStr">
        <is>
          <t>Nutmeg, Lily, Cinnamon</t>
        </is>
      </c>
      <c r="M84" s="17" t="inlineStr">
        <is>
          <t>Amber, Tobacco, Sandalwood, Vetiver</t>
        </is>
      </c>
      <c r="N84" s="17" t="inlineStr">
        <is>
          <t>Masculine</t>
        </is>
      </c>
      <c r="O84" s="17" t="inlineStr">
        <is>
          <t>Opens with yuzu, bergamot and cypress, moves through nutmeg and lily, settles into amber and tobacco. Clean and breezy, the fragrance equivalent of an open window — an easy, no-fuss pick for daily wear, light enough for daytime, with a few hours of wear.</t>
        </is>
      </c>
    </row>
    <row r="85" ht="15" customHeight="1" s="11">
      <c r="A85" s="14" t="inlineStr">
        <is>
          <t>Kenzo</t>
        </is>
      </c>
      <c r="B85" s="14" t="inlineStr">
        <is>
          <t>Flower by Kenzo</t>
        </is>
      </c>
      <c r="C85" s="14" t="inlineStr">
        <is>
          <t>EDP</t>
        </is>
      </c>
      <c r="D85" s="14" t="inlineStr">
        <is>
          <t>100ml</t>
        </is>
      </c>
      <c r="E85" s="14">
        <f>IF(AND(A85&lt;&gt;"",B85&lt;&gt;"",D85&lt;&gt;""),UPPER(SUBSTITUTE(A85," ","-"))&amp;"-"&amp;UPPER(SUBSTITUTE(B85," ","-"))&amp;"-"&amp;UPPER(SUBSTITUTE(D85," ","-")),"")</f>
        <v/>
      </c>
      <c r="F85" s="14" t="inlineStr">
        <is>
          <t>200100011234</t>
        </is>
      </c>
      <c r="G85" s="15" t="n">
        <v>105</v>
      </c>
      <c r="H85" s="15" t="n">
        <v>58</v>
      </c>
      <c r="I85" s="16" t="n">
        <v>6</v>
      </c>
      <c r="J85" s="17" t="inlineStr">
        <is>
          <t>Floral</t>
        </is>
      </c>
      <c r="K85" s="17" t="inlineStr">
        <is>
          <t>Blackcurrant, Mandarin</t>
        </is>
      </c>
      <c r="L85" s="17" t="inlineStr">
        <is>
          <t>Rose, Violet, Jasmine</t>
        </is>
      </c>
      <c r="M85" s="17" t="inlineStr">
        <is>
          <t>Vanilla, White Musk, Amber</t>
        </is>
      </c>
      <c r="N85" s="17" t="inlineStr">
        <is>
          <t>Feminine</t>
        </is>
      </c>
      <c r="O85" s="17" t="inlineStr">
        <is>
          <t>Opens with blackcurrant and mandarin, moves through rose and violet, settles into vanilla and white musk. Delicate but never quiet, a bouquet that lingers — an easy, wear-anywhere choice, concentrated enough to carry into the evening.</t>
        </is>
      </c>
    </row>
    <row r="86" ht="15" customHeight="1" s="11">
      <c r="A86" s="14" t="inlineStr">
        <is>
          <t>Viktor&amp;Rolf</t>
        </is>
      </c>
      <c r="B86" s="14" t="inlineStr">
        <is>
          <t>Spicebomb</t>
        </is>
      </c>
      <c r="C86" s="14" t="inlineStr">
        <is>
          <t>EDT</t>
        </is>
      </c>
      <c r="D86" s="14" t="inlineStr">
        <is>
          <t>100ml</t>
        </is>
      </c>
      <c r="E86" s="14">
        <f>IF(AND(A86&lt;&gt;"",B86&lt;&gt;"",D86&lt;&gt;""),UPPER(SUBSTITUTE(A86," ","-"))&amp;"-"&amp;UPPER(SUBSTITUTE(B86," ","-"))&amp;"-"&amp;UPPER(SUBSTITUTE(D86," ","-")),"")</f>
        <v/>
      </c>
      <c r="F86" s="14" t="inlineStr">
        <is>
          <t>200100011371</t>
        </is>
      </c>
      <c r="G86" s="15" t="n">
        <v>95</v>
      </c>
      <c r="H86" s="15" t="n">
        <v>52</v>
      </c>
      <c r="I86" s="16" t="n">
        <v>9</v>
      </c>
      <c r="J86" s="17" t="inlineStr">
        <is>
          <t>Amber/Oriental</t>
        </is>
      </c>
      <c r="K86" s="17" t="inlineStr">
        <is>
          <t>Bergamot, Grapefruit, Pink Pepper</t>
        </is>
      </c>
      <c r="L86" s="17" t="inlineStr">
        <is>
          <t>Cinnamon, Saffron, Paprika</t>
        </is>
      </c>
      <c r="M86" s="17" t="inlineStr">
        <is>
          <t>Tobacco, Leather, Vetiver</t>
        </is>
      </c>
      <c r="N86" s="17" t="inlineStr">
        <is>
          <t>Masculine</t>
        </is>
      </c>
      <c r="O86" s="17" t="inlineStr">
        <is>
          <t>Opens with bergamot, grapefruit and pink pepper, moves through cinnamon and saffron, settles into tobacco and leather. Rich and enveloping, built for cooler nights — an easy, no-fuss pick for daily wear, light enough for daytime, with a few hours of wear.</t>
        </is>
      </c>
    </row>
    <row r="87" ht="15" customHeight="1" s="11">
      <c r="A87" s="14" t="inlineStr">
        <is>
          <t>Giorgio Armani</t>
        </is>
      </c>
      <c r="B87" s="14" t="inlineStr">
        <is>
          <t>Armani Code</t>
        </is>
      </c>
      <c r="C87" s="14" t="inlineStr">
        <is>
          <t>EDT</t>
        </is>
      </c>
      <c r="D87" s="14" t="inlineStr">
        <is>
          <t>100ml</t>
        </is>
      </c>
      <c r="E87" s="14">
        <f>IF(AND(A87&lt;&gt;"",B87&lt;&gt;"",D87&lt;&gt;""),UPPER(SUBSTITUTE(A87," ","-"))&amp;"-"&amp;UPPER(SUBSTITUTE(B87," ","-"))&amp;"-"&amp;UPPER(SUBSTITUTE(D87," ","-")),"")</f>
        <v/>
      </c>
      <c r="F87" s="14" t="inlineStr">
        <is>
          <t>200100011508</t>
        </is>
      </c>
      <c r="G87" s="15" t="n">
        <v>90</v>
      </c>
      <c r="H87" s="15" t="n">
        <v>50</v>
      </c>
      <c r="I87" s="16" t="n">
        <v>12</v>
      </c>
      <c r="J87" s="17" t="inlineStr">
        <is>
          <t>Amber/Oriental</t>
        </is>
      </c>
      <c r="K87" s="17" t="inlineStr">
        <is>
          <t>Bergamot, Lemon</t>
        </is>
      </c>
      <c r="L87" s="17" t="inlineStr">
        <is>
          <t>Olive Blossom, Star Anise</t>
        </is>
      </c>
      <c r="M87" s="17" t="inlineStr">
        <is>
          <t>Tonka Bean, Leather, Guaiac Wood</t>
        </is>
      </c>
      <c r="N87" s="17" t="inlineStr">
        <is>
          <t>Masculine</t>
        </is>
      </c>
      <c r="O87" s="17" t="inlineStr">
        <is>
          <t>Opens with bergamot and lemon, moves through olive blossom and star anise, settles into tonka bean and leather. Rich and enveloping, built for cooler nights — an easy, no-fuss pick for daily wear, light enough for daytime, with a few hours of wear.</t>
        </is>
      </c>
    </row>
    <row r="88" ht="15" customHeight="1" s="11">
      <c r="A88" s="14" t="inlineStr">
        <is>
          <t>Giorgio Armani</t>
        </is>
      </c>
      <c r="B88" s="14" t="inlineStr">
        <is>
          <t>My Way</t>
        </is>
      </c>
      <c r="C88" s="14" t="inlineStr">
        <is>
          <t>EDP</t>
        </is>
      </c>
      <c r="D88" s="14" t="inlineStr">
        <is>
          <t>90ml</t>
        </is>
      </c>
      <c r="E88" s="14">
        <f>IF(AND(A88&lt;&gt;"",B88&lt;&gt;"",D88&lt;&gt;""),UPPER(SUBSTITUTE(A88," ","-"))&amp;"-"&amp;UPPER(SUBSTITUTE(B88," ","-"))&amp;"-"&amp;UPPER(SUBSTITUTE(D88," ","-")),"")</f>
        <v/>
      </c>
      <c r="F88" s="14" t="inlineStr">
        <is>
          <t>200100011645</t>
        </is>
      </c>
      <c r="G88" s="15" t="n">
        <v>115</v>
      </c>
      <c r="H88" s="15" t="n">
        <v>63</v>
      </c>
      <c r="I88" s="16" t="n">
        <v>7</v>
      </c>
      <c r="J88" s="17" t="inlineStr">
        <is>
          <t>Floral</t>
        </is>
      </c>
      <c r="K88" s="17" t="inlineStr">
        <is>
          <t>Orange Blossom, Bergamot</t>
        </is>
      </c>
      <c r="L88" s="17" t="inlineStr">
        <is>
          <t>Tuberose, Indian Jasmine</t>
        </is>
      </c>
      <c r="M88" s="17" t="inlineStr">
        <is>
          <t>Cedar, Vanilla, White Musk</t>
        </is>
      </c>
      <c r="N88" s="17" t="inlineStr">
        <is>
          <t>Feminine</t>
        </is>
      </c>
      <c r="O88" s="17" t="inlineStr">
        <is>
          <t>Opens with orange blossom and bergamot, moves through tuberose and indian jasmine, settles into cedar and vanilla. Soft-petaled and radiant, built around a true floral heart — a versatile, everyday signature, concentrated enough to carry into the evening.</t>
        </is>
      </c>
    </row>
    <row r="89" ht="15" customHeight="1" s="11">
      <c r="A89" s="14" t="inlineStr">
        <is>
          <t>Tom Ford</t>
        </is>
      </c>
      <c r="B89" s="14" t="inlineStr">
        <is>
          <t>Black Orchid</t>
        </is>
      </c>
      <c r="C89" s="14" t="inlineStr">
        <is>
          <t>EDP</t>
        </is>
      </c>
      <c r="D89" s="14" t="inlineStr">
        <is>
          <t>100ml</t>
        </is>
      </c>
      <c r="E89" s="14">
        <f>IF(AND(A89&lt;&gt;"",B89&lt;&gt;"",D89&lt;&gt;""),UPPER(SUBSTITUTE(A89," ","-"))&amp;"-"&amp;UPPER(SUBSTITUTE(B89," ","-"))&amp;"-"&amp;UPPER(SUBSTITUTE(D89," ","-")),"")</f>
        <v/>
      </c>
      <c r="F89" s="14" t="inlineStr">
        <is>
          <t>200100011782</t>
        </is>
      </c>
      <c r="G89" s="15" t="n">
        <v>155</v>
      </c>
      <c r="H89" s="15" t="n">
        <v>85</v>
      </c>
      <c r="I89" s="16" t="n">
        <v>4</v>
      </c>
      <c r="J89" s="17" t="inlineStr">
        <is>
          <t>Amber/Oriental</t>
        </is>
      </c>
      <c r="K89" s="17" t="inlineStr">
        <is>
          <t>Black Truffle, Ylang-Ylang, Bergamot</t>
        </is>
      </c>
      <c r="L89" s="17" t="inlineStr">
        <is>
          <t>Orchid, Spices, Lotus Wood</t>
        </is>
      </c>
      <c r="M89" s="17" t="inlineStr">
        <is>
          <t>Patchouli, Vanilla, Incense, Sandalwood</t>
        </is>
      </c>
      <c r="N89" s="17" t="inlineStr">
        <is>
          <t>Unisex</t>
        </is>
      </c>
      <c r="O89" s="17" t="inlineStr">
        <is>
          <t>Opens with black truffle, ylang-ylang and bergamot, moves through orchid and spices, settles into patchouli and vanilla. Spiced and sensual, the kind of scent people lean in for — flexible enough for any wardrobe, concentrated enough to carry into the evening.</t>
        </is>
      </c>
    </row>
    <row r="90" ht="15" customHeight="1" s="11">
      <c r="A90" s="14" t="inlineStr">
        <is>
          <t>Tom Ford</t>
        </is>
      </c>
      <c r="B90" s="14" t="inlineStr">
        <is>
          <t>Lost Cherry</t>
        </is>
      </c>
      <c r="C90" s="14" t="inlineStr">
        <is>
          <t>EDP</t>
        </is>
      </c>
      <c r="D90" s="14" t="inlineStr">
        <is>
          <t>50ml</t>
        </is>
      </c>
      <c r="E90" s="14">
        <f>IF(AND(A90&lt;&gt;"",B90&lt;&gt;"",D90&lt;&gt;""),UPPER(SUBSTITUTE(A90," ","-"))&amp;"-"&amp;UPPER(SUBSTITUTE(B90," ","-"))&amp;"-"&amp;UPPER(SUBSTITUTE(D90," ","-")),"")</f>
        <v/>
      </c>
      <c r="F90" s="14" t="inlineStr">
        <is>
          <t>200100011919</t>
        </is>
      </c>
      <c r="G90" s="15" t="n">
        <v>275</v>
      </c>
      <c r="H90" s="15" t="n">
        <v>151</v>
      </c>
      <c r="I90" s="16" t="n">
        <v>7</v>
      </c>
      <c r="J90" s="17" t="inlineStr">
        <is>
          <t>Gourmand</t>
        </is>
      </c>
      <c r="K90" s="17" t="inlineStr">
        <is>
          <t>Black Cherry, Cherry Liqueur, Bitter Almond</t>
        </is>
      </c>
      <c r="L90" s="17" t="inlineStr">
        <is>
          <t>Turkish Rose, Jasmine</t>
        </is>
      </c>
      <c r="M90" s="17" t="inlineStr">
        <is>
          <t>Tonka, Vanilla, Cinnamon, Peru Balsam</t>
        </is>
      </c>
      <c r="N90" s="17" t="inlineStr">
        <is>
          <t>Unisex</t>
        </is>
      </c>
      <c r="O90" s="17" t="inlineStr">
        <is>
          <t>Opens with black cherry, cherry liqueur and bitter almond, moves through turkish rose and jasmine, settles into tonka and vanilla. Warm and comforting, like something baked — genuinely unisex, no gendered marketing required, concentrated enough to carry into the evening.</t>
        </is>
      </c>
    </row>
    <row r="91" ht="15" customHeight="1" s="11">
      <c r="A91" s="14" t="inlineStr">
        <is>
          <t>Versace</t>
        </is>
      </c>
      <c r="B91" s="14" t="inlineStr">
        <is>
          <t>Pour Homme</t>
        </is>
      </c>
      <c r="C91" s="14" t="inlineStr">
        <is>
          <t>EDT</t>
        </is>
      </c>
      <c r="D91" s="14" t="inlineStr">
        <is>
          <t>100ml</t>
        </is>
      </c>
      <c r="E91" s="14">
        <f>IF(AND(A91&lt;&gt;"",B91&lt;&gt;"",D91&lt;&gt;""),UPPER(SUBSTITUTE(A91," ","-"))&amp;"-"&amp;UPPER(SUBSTITUTE(B91," ","-"))&amp;"-"&amp;UPPER(SUBSTITUTE(D91," ","-")),"")</f>
        <v/>
      </c>
      <c r="F91" s="14" t="inlineStr">
        <is>
          <t>200100012056</t>
        </is>
      </c>
      <c r="G91" s="15" t="n">
        <v>75</v>
      </c>
      <c r="H91" s="15" t="n">
        <v>41</v>
      </c>
      <c r="I91" s="16" t="n">
        <v>7</v>
      </c>
      <c r="J91" s="17" t="inlineStr">
        <is>
          <t>Fresh/Aquatic</t>
        </is>
      </c>
      <c r="K91" s="17" t="inlineStr">
        <is>
          <t>Bergamot, Neroli, Citron</t>
        </is>
      </c>
      <c r="L91" s="17" t="inlineStr">
        <is>
          <t>Hyacinth, Clary Sage, Geranium</t>
        </is>
      </c>
      <c r="M91" s="17" t="inlineStr">
        <is>
          <t>Musk, Cedar, Tonka, Amber</t>
        </is>
      </c>
      <c r="N91" s="17" t="inlineStr">
        <is>
          <t>Masculine</t>
        </is>
      </c>
      <c r="O91" s="17" t="inlineStr">
        <is>
          <t>Opens with bergamot, neroli and citron, moves through hyacinth and clary sage, settles into musk and cedar. Cool and marine, like sea spray on skin — a dependable, everyday men's signature, light enough for daytime, with a few hours of wear.</t>
        </is>
      </c>
    </row>
    <row r="92" ht="15" customHeight="1" s="11">
      <c r="A92" s="14" t="inlineStr">
        <is>
          <t>Nishane</t>
        </is>
      </c>
      <c r="B92" s="14" t="inlineStr">
        <is>
          <t>Hacivat</t>
        </is>
      </c>
      <c r="C92" s="14" t="inlineStr">
        <is>
          <t>EDP</t>
        </is>
      </c>
      <c r="D92" s="14" t="inlineStr">
        <is>
          <t>50ml</t>
        </is>
      </c>
      <c r="E92" s="14">
        <f>IF(AND(A92&lt;&gt;"",B92&lt;&gt;"",D92&lt;&gt;""),UPPER(SUBSTITUTE(A92," ","-"))&amp;"-"&amp;UPPER(SUBSTITUTE(B92," ","-"))&amp;"-"&amp;UPPER(SUBSTITUTE(D92," ","-")),"")</f>
        <v/>
      </c>
      <c r="F92" s="14" t="inlineStr">
        <is>
          <t>200100012193</t>
        </is>
      </c>
      <c r="G92" s="15" t="n">
        <v>180</v>
      </c>
      <c r="H92" s="15" t="n">
        <v>99</v>
      </c>
      <c r="I92" s="16" t="n">
        <v>5</v>
      </c>
      <c r="J92" s="17" t="inlineStr">
        <is>
          <t>Chypre</t>
        </is>
      </c>
      <c r="K92" s="17" t="inlineStr">
        <is>
          <t>Pineapple, Bergamot, Grapefruit</t>
        </is>
      </c>
      <c r="L92" s="17" t="inlineStr">
        <is>
          <t>Patchouli, Cedar</t>
        </is>
      </c>
      <c r="M92" s="17" t="inlineStr">
        <is>
          <t>Oakmoss, Musk, Labdanum</t>
        </is>
      </c>
      <c r="N92" s="17" t="inlineStr">
        <is>
          <t>Unisex</t>
        </is>
      </c>
      <c r="O92" s="17" t="inlineStr">
        <is>
          <t>Opens with pineapple, bergamot and grapefruit, moves through patchouli and cedar, settles into oakmoss and musk. Structured and sophisticated, rewards a second sniff — flexible enough for any wardrobe, concentrated enough to carry into the evening.</t>
        </is>
      </c>
    </row>
    <row r="93" ht="15" customHeight="1" s="11">
      <c r="A93" s="14" t="inlineStr">
        <is>
          <t>Amouage</t>
        </is>
      </c>
      <c r="B93" s="14" t="inlineStr">
        <is>
          <t>Interlude Man</t>
        </is>
      </c>
      <c r="C93" s="14" t="inlineStr">
        <is>
          <t>EDP</t>
        </is>
      </c>
      <c r="D93" s="14" t="inlineStr">
        <is>
          <t>100ml</t>
        </is>
      </c>
      <c r="E93" s="14">
        <f>IF(AND(A93&lt;&gt;"",B93&lt;&gt;"",D93&lt;&gt;""),UPPER(SUBSTITUTE(A93," ","-"))&amp;"-"&amp;UPPER(SUBSTITUTE(B93," ","-"))&amp;"-"&amp;UPPER(SUBSTITUTE(D93," ","-")),"")</f>
        <v/>
      </c>
      <c r="F93" s="14" t="inlineStr">
        <is>
          <t>200100012330</t>
        </is>
      </c>
      <c r="G93" s="15" t="n">
        <v>340</v>
      </c>
      <c r="H93" s="15" t="n">
        <v>187</v>
      </c>
      <c r="I93" s="16" t="n">
        <v>12</v>
      </c>
      <c r="J93" s="17" t="inlineStr">
        <is>
          <t>Amber/Oriental</t>
        </is>
      </c>
      <c r="K93" s="17" t="inlineStr">
        <is>
          <t>Bergamot, Oregano, Pepper</t>
        </is>
      </c>
      <c r="L93" s="17" t="inlineStr">
        <is>
          <t>Amber, Cistus, Frankincense</t>
        </is>
      </c>
      <c r="M93" s="17" t="inlineStr">
        <is>
          <t>Leather, Sandalwood, Musk</t>
        </is>
      </c>
      <c r="N93" s="17" t="inlineStr">
        <is>
          <t>Masculine</t>
        </is>
      </c>
      <c r="O93" s="17" t="inlineStr">
        <is>
          <t>Opens with bergamot, oregano and pepper, moves through amber and cistus, settles into leather and sandalwood. Warm and resinous, glowing rather than shouting — a dependable, everyday men's signature, concentrated enough to carry into the evening.</t>
        </is>
      </c>
    </row>
    <row r="94" ht="15" customHeight="1" s="11">
      <c r="A94" s="14" t="inlineStr">
        <is>
          <t>Jo Malone</t>
        </is>
      </c>
      <c r="B94" s="14" t="inlineStr">
        <is>
          <t>Peony &amp; Blush Suede</t>
        </is>
      </c>
      <c r="C94" s="14" t="inlineStr">
        <is>
          <t>Cologne</t>
        </is>
      </c>
      <c r="D94" s="14" t="inlineStr">
        <is>
          <t>100ml</t>
        </is>
      </c>
      <c r="E94" s="14">
        <f>IF(AND(A94&lt;&gt;"",B94&lt;&gt;"",D94&lt;&gt;""),UPPER(SUBSTITUTE(A94," ","-"))&amp;"-"&amp;UPPER(SUBSTITUTE(B94," ","-"))&amp;"-"&amp;UPPER(SUBSTITUTE(D94," ","-")),"")</f>
        <v/>
      </c>
      <c r="F94" s="14" t="inlineStr">
        <is>
          <t>200100012467</t>
        </is>
      </c>
      <c r="G94" s="15" t="n">
        <v>150</v>
      </c>
      <c r="H94" s="15" t="n">
        <v>82</v>
      </c>
      <c r="I94" s="16" t="n">
        <v>6</v>
      </c>
      <c r="J94" s="17" t="inlineStr">
        <is>
          <t>Floral</t>
        </is>
      </c>
      <c r="K94" s="17" t="inlineStr">
        <is>
          <t>Red Apple</t>
        </is>
      </c>
      <c r="L94" s="17" t="inlineStr">
        <is>
          <t>Peony, Jasmine, Rose</t>
        </is>
      </c>
      <c r="M94" s="17" t="inlineStr">
        <is>
          <t>Suede</t>
        </is>
      </c>
      <c r="N94" s="17" t="inlineStr">
        <is>
          <t>Feminine</t>
        </is>
      </c>
      <c r="O94" s="17" t="inlineStr">
        <is>
          <t>Opens with red apple, moves through peony and jasmine, settles into suede. Delicate but never quiet, a bouquet that lingers — an easy, wear-anywhere choice, a lighter, splashier cut, best refreshed through the day.</t>
        </is>
      </c>
    </row>
    <row r="95" ht="15" customHeight="1" s="11">
      <c r="A95" s="14" t="inlineStr">
        <is>
          <t>Diptyque</t>
        </is>
      </c>
      <c r="B95" s="14" t="inlineStr">
        <is>
          <t>Philosykos</t>
        </is>
      </c>
      <c r="C95" s="14" t="inlineStr">
        <is>
          <t>EDT</t>
        </is>
      </c>
      <c r="D95" s="14" t="inlineStr">
        <is>
          <t>100ml</t>
        </is>
      </c>
      <c r="E95" s="14">
        <f>IF(AND(A95&lt;&gt;"",B95&lt;&gt;"",D95&lt;&gt;""),UPPER(SUBSTITUTE(A95," ","-"))&amp;"-"&amp;UPPER(SUBSTITUTE(B95," ","-"))&amp;"-"&amp;UPPER(SUBSTITUTE(D95," ","-")),"")</f>
        <v/>
      </c>
      <c r="F95" s="14" t="inlineStr">
        <is>
          <t>200100012604</t>
        </is>
      </c>
      <c r="G95" s="15" t="n">
        <v>150</v>
      </c>
      <c r="H95" s="15" t="n">
        <v>82</v>
      </c>
      <c r="I95" s="16" t="n">
        <v>13</v>
      </c>
      <c r="J95" s="17" t="inlineStr">
        <is>
          <t>Green</t>
        </is>
      </c>
      <c r="K95" s="17" t="inlineStr">
        <is>
          <t>Fig Leaf</t>
        </is>
      </c>
      <c r="L95" s="17" t="inlineStr">
        <is>
          <t>Fig, Coconut</t>
        </is>
      </c>
      <c r="M95" s="17" t="inlineStr">
        <is>
          <t>Fig Tree Wood, Cedar</t>
        </is>
      </c>
      <c r="N95" s="17" t="inlineStr">
        <is>
          <t>Unisex</t>
        </is>
      </c>
      <c r="O95" s="17" t="inlineStr">
        <is>
          <t>Opens with fig leaf, moves through fig and coconut, settles into fig tree wood and cedar. Grassy and sharp, unmistakably outdoors — flexible enough for any wardrobe, light enough for daytime, with a few hours of wear.</t>
        </is>
      </c>
    </row>
    <row r="96" ht="15" customHeight="1" s="11">
      <c r="A96" s="14" t="inlineStr">
        <is>
          <t>Maison Francis Kurkdjian</t>
        </is>
      </c>
      <c r="B96" s="14" t="inlineStr">
        <is>
          <t>Grand Soir</t>
        </is>
      </c>
      <c r="C96" s="14" t="inlineStr">
        <is>
          <t>EDP</t>
        </is>
      </c>
      <c r="D96" s="14" t="inlineStr">
        <is>
          <t>70ml</t>
        </is>
      </c>
      <c r="E96" s="14">
        <f>IF(AND(A96&lt;&gt;"",B96&lt;&gt;"",D96&lt;&gt;""),UPPER(SUBSTITUTE(A96," ","-"))&amp;"-"&amp;UPPER(SUBSTITUTE(B96," ","-"))&amp;"-"&amp;UPPER(SUBSTITUTE(D96," ","-")),"")</f>
        <v/>
      </c>
      <c r="F96" s="14" t="inlineStr">
        <is>
          <t>200100012741</t>
        </is>
      </c>
      <c r="G96" s="15" t="n">
        <v>325</v>
      </c>
      <c r="H96" s="15" t="n">
        <v>179</v>
      </c>
      <c r="I96" s="16" t="n">
        <v>12</v>
      </c>
      <c r="J96" s="17" t="inlineStr">
        <is>
          <t>Amber/Oriental</t>
        </is>
      </c>
      <c r="K96" s="17" t="inlineStr">
        <is>
          <t>Amber</t>
        </is>
      </c>
      <c r="L96" s="17" t="inlineStr">
        <is>
          <t>Benzoin, Labdanum</t>
        </is>
      </c>
      <c r="M96" s="17" t="inlineStr">
        <is>
          <t>Vanilla, Tonka, Cedar</t>
        </is>
      </c>
      <c r="N96" s="17" t="inlineStr">
        <is>
          <t>Unisex</t>
        </is>
      </c>
      <c r="O96" s="17" t="inlineStr">
        <is>
          <t>Opens with amber, moves through benzoin and labdanum, settles into vanilla and tonka. Spiced and sensual, the kind of scent people lean in for — flexible enough for any wardrobe, concentrated enough to carry into the evening.</t>
        </is>
      </c>
    </row>
    <row r="97" ht="15" customHeight="1" s="11">
      <c r="A97" s="14" t="inlineStr">
        <is>
          <t>Carolina Herrera</t>
        </is>
      </c>
      <c r="B97" s="14" t="inlineStr">
        <is>
          <t>212 VIP Rosé</t>
        </is>
      </c>
      <c r="C97" s="14" t="inlineStr">
        <is>
          <t>EDP</t>
        </is>
      </c>
      <c r="D97" s="14" t="inlineStr">
        <is>
          <t>80ml</t>
        </is>
      </c>
      <c r="E97" s="14">
        <f>IF(AND(A97&lt;&gt;"",B97&lt;&gt;"",D97&lt;&gt;""),UPPER(SUBSTITUTE(A97," ","-"))&amp;"-"&amp;UPPER(SUBSTITUTE(B97," ","-"))&amp;"-"&amp;UPPER(SUBSTITUTE(D97," ","-")),"")</f>
        <v/>
      </c>
      <c r="F97" s="14" t="inlineStr">
        <is>
          <t>200100012878</t>
        </is>
      </c>
      <c r="G97" s="15" t="n">
        <v>95</v>
      </c>
      <c r="H97" s="15" t="n">
        <v>52</v>
      </c>
      <c r="I97" s="16" t="n">
        <v>12</v>
      </c>
      <c r="J97" s="17" t="inlineStr">
        <is>
          <t>Floral</t>
        </is>
      </c>
      <c r="K97" s="17" t="inlineStr">
        <is>
          <t>Peach, Champagne Rosé</t>
        </is>
      </c>
      <c r="L97" s="17" t="inlineStr">
        <is>
          <t>Rose</t>
        </is>
      </c>
      <c r="M97" s="17" t="inlineStr">
        <is>
          <t>Musk</t>
        </is>
      </c>
      <c r="N97" s="17" t="inlineStr">
        <is>
          <t>Feminine</t>
        </is>
      </c>
      <c r="O97" s="17" t="inlineStr">
        <is>
          <t>Opens with peach and champagne rosé, moves through rose, settles into musk. Soft-petaled and radiant, built around a true floral heart — a versatile, everyday signature, concentrated enough to carry into the evening.</t>
        </is>
      </c>
    </row>
    <row r="98" ht="15" customHeight="1" s="11">
      <c r="A98" s="14" t="inlineStr">
        <is>
          <t>Dior</t>
        </is>
      </c>
      <c r="B98" s="14" t="inlineStr">
        <is>
          <t>Homme</t>
        </is>
      </c>
      <c r="C98" s="14" t="inlineStr">
        <is>
          <t>EDT</t>
        </is>
      </c>
      <c r="D98" s="14" t="inlineStr">
        <is>
          <t>100ml</t>
        </is>
      </c>
      <c r="E98" s="14">
        <f>IF(AND(A98&lt;&gt;"",B98&lt;&gt;"",D98&lt;&gt;""),UPPER(SUBSTITUTE(A98," ","-"))&amp;"-"&amp;UPPER(SUBSTITUTE(B98," ","-"))&amp;"-"&amp;UPPER(SUBSTITUTE(D98," ","-")),"")</f>
        <v/>
      </c>
      <c r="F98" s="14" t="inlineStr">
        <is>
          <t>200100013015</t>
        </is>
      </c>
      <c r="G98" s="15" t="n">
        <v>110</v>
      </c>
      <c r="H98" s="15" t="n">
        <v>61</v>
      </c>
      <c r="I98" s="16" t="n">
        <v>3</v>
      </c>
      <c r="J98" s="17" t="inlineStr">
        <is>
          <t>Woody</t>
        </is>
      </c>
      <c r="K98" s="17" t="inlineStr">
        <is>
          <t>Bergamot, Pink Pepper</t>
        </is>
      </c>
      <c r="L98" s="17" t="inlineStr">
        <is>
          <t>Iris, Cashmere Wood</t>
        </is>
      </c>
      <c r="M98" s="17" t="inlineStr">
        <is>
          <t>Vetiver, Haitian Vetiver</t>
        </is>
      </c>
      <c r="N98" s="17" t="inlineStr">
        <is>
          <t>Masculine</t>
        </is>
      </c>
      <c r="O98" s="17" t="inlineStr">
        <is>
          <t>Opens with bergamot and pink pepper, moves through iris and cashmere wood, settles into vetiver and haitian vetiver. Dry and textured, more sweater than cologne — a confident one-bottle-does-it-all choice, light enough for daytime, with a few hours of wear.</t>
        </is>
      </c>
    </row>
    <row r="99" ht="15" customHeight="1" s="11">
      <c r="A99" s="14" t="inlineStr">
        <is>
          <t>Guerlain</t>
        </is>
      </c>
      <c r="B99" s="14" t="inlineStr">
        <is>
          <t>Mon Guerlain</t>
        </is>
      </c>
      <c r="C99" s="14" t="inlineStr">
        <is>
          <t>EDP</t>
        </is>
      </c>
      <c r="D99" s="14" t="inlineStr">
        <is>
          <t>100ml</t>
        </is>
      </c>
      <c r="E99" s="14">
        <f>IF(AND(A99&lt;&gt;"",B99&lt;&gt;"",D99&lt;&gt;""),UPPER(SUBSTITUTE(A99," ","-"))&amp;"-"&amp;UPPER(SUBSTITUTE(B99," ","-"))&amp;"-"&amp;UPPER(SUBSTITUTE(D99," ","-")),"")</f>
        <v/>
      </c>
      <c r="F99" s="14" t="inlineStr">
        <is>
          <t>200100013152</t>
        </is>
      </c>
      <c r="G99" s="15" t="n">
        <v>110</v>
      </c>
      <c r="H99" s="15" t="n">
        <v>61</v>
      </c>
      <c r="I99" s="16" t="n">
        <v>11</v>
      </c>
      <c r="J99" s="17" t="inlineStr">
        <is>
          <t>Amber/Oriental</t>
        </is>
      </c>
      <c r="K99" s="17" t="inlineStr">
        <is>
          <t>Bergamot, Lavender</t>
        </is>
      </c>
      <c r="L99" s="17" t="inlineStr">
        <is>
          <t>Jasmine, Iris</t>
        </is>
      </c>
      <c r="M99" s="17" t="inlineStr">
        <is>
          <t>Vanilla, Tonka, Sandalwood</t>
        </is>
      </c>
      <c r="N99" s="17" t="inlineStr">
        <is>
          <t>Feminine</t>
        </is>
      </c>
      <c r="O99" s="17" t="inlineStr">
        <is>
          <t>Opens with bergamot and lavender, moves through jasmine and iris, settles into vanilla and tonka. Warm and resinous, glowing rather than shouting — a versatile, everyday signature, concentrated enough to carry into the evening.</t>
        </is>
      </c>
    </row>
    <row r="100" ht="15" customHeight="1" s="11">
      <c r="A100" s="14" t="inlineStr">
        <is>
          <t>Kilian</t>
        </is>
      </c>
      <c r="B100" s="14" t="inlineStr">
        <is>
          <t>Angels' Share</t>
        </is>
      </c>
      <c r="C100" s="14" t="inlineStr">
        <is>
          <t>EDP</t>
        </is>
      </c>
      <c r="D100" s="14" t="inlineStr">
        <is>
          <t>50ml</t>
        </is>
      </c>
      <c r="E100" s="14">
        <f>IF(AND(A100&lt;&gt;"",B100&lt;&gt;"",D100&lt;&gt;""),UPPER(SUBSTITUTE(A100," ","-"))&amp;"-"&amp;UPPER(SUBSTITUTE(B100," ","-"))&amp;"-"&amp;UPPER(SUBSTITUTE(D100," ","-")),"")</f>
        <v/>
      </c>
      <c r="F100" s="14" t="inlineStr">
        <is>
          <t>200100013289</t>
        </is>
      </c>
      <c r="G100" s="15" t="n">
        <v>290</v>
      </c>
      <c r="H100" s="15" t="n">
        <v>160</v>
      </c>
      <c r="I100" s="16" t="n">
        <v>12</v>
      </c>
      <c r="J100" s="17" t="inlineStr">
        <is>
          <t>Gourmand</t>
        </is>
      </c>
      <c r="K100" s="17" t="inlineStr">
        <is>
          <t>Cognac</t>
        </is>
      </c>
      <c r="L100" s="17" t="inlineStr">
        <is>
          <t>Cinnamon, Tonka</t>
        </is>
      </c>
      <c r="M100" s="17" t="inlineStr">
        <is>
          <t>Vanilla, Praline, Oak</t>
        </is>
      </c>
      <c r="N100" s="17" t="inlineStr">
        <is>
          <t>Unisex</t>
        </is>
      </c>
      <c r="O100" s="17" t="inlineStr">
        <is>
          <t>Opens with cognac, moves through cinnamon and tonka, settles into vanilla and praline. Sweet and edible without tipping into dessert — built to wear well on anyone, concentrated enough to carry into the evening.</t>
        </is>
      </c>
    </row>
    <row r="101" ht="15" customHeight="1" s="11">
      <c r="A101" s="14" t="inlineStr">
        <is>
          <t>Dior</t>
        </is>
      </c>
      <c r="B101" s="14" t="inlineStr">
        <is>
          <t>Sauvage Elixir</t>
        </is>
      </c>
      <c r="C101" s="14" t="inlineStr">
        <is>
          <t>Parfum</t>
        </is>
      </c>
      <c r="D101" s="14" t="inlineStr">
        <is>
          <t>60ml</t>
        </is>
      </c>
      <c r="E101" s="14">
        <f>IF(AND(A101&lt;&gt;"",B101&lt;&gt;"",D101&lt;&gt;""),UPPER(SUBSTITUTE(A101," ","-"))&amp;"-"&amp;UPPER(SUBSTITUTE(B101," ","-"))&amp;"-"&amp;UPPER(SUBSTITUTE(D101," ","-")),"")</f>
        <v/>
      </c>
      <c r="F101" s="14" t="inlineStr">
        <is>
          <t>200100013426</t>
        </is>
      </c>
      <c r="G101" s="15" t="n">
        <v>165</v>
      </c>
      <c r="H101" s="15" t="n">
        <v>91</v>
      </c>
      <c r="I101" s="16" t="n">
        <v>4</v>
      </c>
      <c r="J101" s="17" t="inlineStr">
        <is>
          <t>Amber/Oriental</t>
        </is>
      </c>
      <c r="K101" s="17" t="inlineStr">
        <is>
          <t>Cinnamon, Nutmeg, Cardamom, Grapefruit</t>
        </is>
      </c>
      <c r="L101" s="17" t="inlineStr">
        <is>
          <t>Lavender, Licorice</t>
        </is>
      </c>
      <c r="M101" s="17" t="inlineStr">
        <is>
          <t>Amber, Sandalwood, Haitian Vetiver</t>
        </is>
      </c>
      <c r="N101" s="17" t="inlineStr">
        <is>
          <t>Masculine</t>
        </is>
      </c>
      <c r="O101" s="17" t="inlineStr">
        <is>
          <t>Opens with cinnamon, nutmeg and cardamom, moves through lavender and licorice, settles into amber and sandalwood. Warm and resinous, glowing rather than shouting — a dependable, everyday men's signature, the most concentrated cut here, built to last all day.</t>
        </is>
      </c>
    </row>
    <row r="102" ht="15" customHeight="1" s="11">
      <c r="A102" s="14" t="inlineStr">
        <is>
          <t>Yves Saint Laurent</t>
        </is>
      </c>
      <c r="B102" s="14" t="inlineStr">
        <is>
          <t>MYSLF</t>
        </is>
      </c>
      <c r="C102" s="14" t="inlineStr">
        <is>
          <t>EDP</t>
        </is>
      </c>
      <c r="D102" s="14" t="inlineStr">
        <is>
          <t>100ml</t>
        </is>
      </c>
      <c r="E102" s="14">
        <f>IF(AND(A102&lt;&gt;"",B102&lt;&gt;"",D102&lt;&gt;""),UPPER(SUBSTITUTE(A102," ","-"))&amp;"-"&amp;UPPER(SUBSTITUTE(B102," ","-"))&amp;"-"&amp;UPPER(SUBSTITUTE(D102," ","-")),"")</f>
        <v/>
      </c>
      <c r="F102" s="14" t="inlineStr">
        <is>
          <t>200100013563</t>
        </is>
      </c>
      <c r="G102" s="15" t="n">
        <v>120</v>
      </c>
      <c r="H102" s="15" t="n">
        <v>66</v>
      </c>
      <c r="I102" s="16" t="n">
        <v>10</v>
      </c>
      <c r="J102" s="17" t="inlineStr">
        <is>
          <t>Floral</t>
        </is>
      </c>
      <c r="K102" s="17" t="inlineStr">
        <is>
          <t>Bergamot, Orange Blossom</t>
        </is>
      </c>
      <c r="L102" s="17" t="inlineStr">
        <is>
          <t>Orange Blossom</t>
        </is>
      </c>
      <c r="M102" s="17" t="inlineStr">
        <is>
          <t>Patchouli, Ambrette, Woody Notes</t>
        </is>
      </c>
      <c r="N102" s="17" t="inlineStr">
        <is>
          <t>Masculine</t>
        </is>
      </c>
      <c r="O102" s="17" t="inlineStr">
        <is>
          <t>Opens with bergamot and orange blossom, moves through orange blossom, settles into patchouli and ambrette. Soft-petaled and radiant, built around a true floral heart — a dependable, everyday men's signature, concentrated enough to carry into the evening.</t>
        </is>
      </c>
    </row>
    <row r="103" ht="15" customHeight="1" s="11">
      <c r="A103" s="14" t="n"/>
      <c r="B103" s="14" t="n"/>
      <c r="C103" s="14" t="n"/>
      <c r="D103" s="14" t="n"/>
      <c r="E103" s="14">
        <f>IF(AND(A103&lt;&gt;"",B103&lt;&gt;"",D103&lt;&gt;""),UPPER(SUBSTITUTE(A103," ","-"))&amp;"-"&amp;UPPER(SUBSTITUTE(B103," ","-"))&amp;"-"&amp;UPPER(SUBSTITUTE(D103," ","-")),"")</f>
        <v/>
      </c>
      <c r="F103" s="14" t="n"/>
      <c r="G103" s="15" t="n"/>
      <c r="H103" s="15" t="n"/>
      <c r="I103" s="16" t="n"/>
      <c r="J103" s="17" t="n"/>
      <c r="K103" s="17" t="n"/>
      <c r="L103" s="17" t="n"/>
      <c r="M103" s="17" t="n"/>
      <c r="N103" s="17" t="n"/>
      <c r="O103" s="17" t="n"/>
    </row>
    <row r="104" ht="15" customHeight="1" s="11">
      <c r="A104" s="14" t="n"/>
      <c r="B104" s="14" t="n"/>
      <c r="C104" s="14" t="n"/>
      <c r="D104" s="14" t="n"/>
      <c r="E104" s="14">
        <f>IF(AND(A104&lt;&gt;"",B104&lt;&gt;"",D104&lt;&gt;""),UPPER(SUBSTITUTE(A104," ","-"))&amp;"-"&amp;UPPER(SUBSTITUTE(B104," ","-"))&amp;"-"&amp;UPPER(SUBSTITUTE(D104," ","-")),"")</f>
        <v/>
      </c>
      <c r="F104" s="14" t="n"/>
      <c r="G104" s="15" t="n"/>
      <c r="H104" s="15" t="n"/>
      <c r="I104" s="16" t="n"/>
      <c r="J104" s="17" t="n"/>
      <c r="K104" s="17" t="n"/>
      <c r="L104" s="17" t="n"/>
      <c r="M104" s="17" t="n"/>
      <c r="N104" s="17" t="n"/>
      <c r="O104" s="17" t="n"/>
    </row>
    <row r="105" ht="15" customHeight="1" s="11">
      <c r="A105" s="14" t="n"/>
      <c r="B105" s="14" t="n"/>
      <c r="C105" s="14" t="n"/>
      <c r="D105" s="14" t="n"/>
      <c r="E105" s="14">
        <f>IF(AND(A105&lt;&gt;"",B105&lt;&gt;"",D105&lt;&gt;""),UPPER(SUBSTITUTE(A105," ","-"))&amp;"-"&amp;UPPER(SUBSTITUTE(B105," ","-"))&amp;"-"&amp;UPPER(SUBSTITUTE(D105," ","-")),"")</f>
        <v/>
      </c>
      <c r="F105" s="14" t="n"/>
      <c r="G105" s="15" t="n"/>
      <c r="H105" s="15" t="n"/>
      <c r="I105" s="16" t="n"/>
      <c r="J105" s="17" t="n"/>
      <c r="K105" s="17" t="n"/>
      <c r="L105" s="17" t="n"/>
      <c r="M105" s="17" t="n"/>
      <c r="N105" s="17" t="n"/>
      <c r="O105" s="17" t="n"/>
    </row>
    <row r="106" ht="15" customHeight="1" s="11">
      <c r="A106" s="14" t="n"/>
      <c r="B106" s="14" t="n"/>
      <c r="C106" s="14" t="n"/>
      <c r="D106" s="14" t="n"/>
      <c r="E106" s="14">
        <f>IF(AND(A106&lt;&gt;"",B106&lt;&gt;"",D106&lt;&gt;""),UPPER(SUBSTITUTE(A106," ","-"))&amp;"-"&amp;UPPER(SUBSTITUTE(B106," ","-"))&amp;"-"&amp;UPPER(SUBSTITUTE(D106," ","-")),"")</f>
        <v/>
      </c>
      <c r="F106" s="14" t="n"/>
      <c r="G106" s="15" t="n"/>
      <c r="H106" s="15" t="n"/>
      <c r="I106" s="16" t="n"/>
      <c r="J106" s="17" t="n"/>
      <c r="K106" s="17" t="n"/>
      <c r="L106" s="17" t="n"/>
      <c r="M106" s="17" t="n"/>
      <c r="N106" s="17" t="n"/>
      <c r="O106" s="17" t="n"/>
    </row>
    <row r="107" ht="15" customHeight="1" s="11">
      <c r="A107" s="14" t="n"/>
      <c r="B107" s="14" t="n"/>
      <c r="C107" s="14" t="n"/>
      <c r="D107" s="14" t="n"/>
      <c r="E107" s="14">
        <f>IF(AND(A107&lt;&gt;"",B107&lt;&gt;"",D107&lt;&gt;""),UPPER(SUBSTITUTE(A107," ","-"))&amp;"-"&amp;UPPER(SUBSTITUTE(B107," ","-"))&amp;"-"&amp;UPPER(SUBSTITUTE(D107," ","-")),"")</f>
        <v/>
      </c>
      <c r="F107" s="14" t="n"/>
      <c r="G107" s="15" t="n"/>
      <c r="H107" s="15" t="n"/>
      <c r="I107" s="16" t="n"/>
      <c r="J107" s="17" t="n"/>
      <c r="K107" s="17" t="n"/>
      <c r="L107" s="17" t="n"/>
      <c r="M107" s="17" t="n"/>
      <c r="N107" s="17" t="n"/>
      <c r="O107" s="17" t="n"/>
    </row>
    <row r="108" ht="15" customHeight="1" s="11">
      <c r="A108" s="14" t="n"/>
      <c r="B108" s="14" t="n"/>
      <c r="C108" s="14" t="n"/>
      <c r="D108" s="14" t="n"/>
      <c r="E108" s="14">
        <f>IF(AND(A108&lt;&gt;"",B108&lt;&gt;"",D108&lt;&gt;""),UPPER(SUBSTITUTE(A108," ","-"))&amp;"-"&amp;UPPER(SUBSTITUTE(B108," ","-"))&amp;"-"&amp;UPPER(SUBSTITUTE(D108," ","-")),"")</f>
        <v/>
      </c>
      <c r="F108" s="14" t="n"/>
      <c r="G108" s="15" t="n"/>
      <c r="H108" s="15" t="n"/>
      <c r="I108" s="16" t="n"/>
      <c r="J108" s="17" t="n"/>
      <c r="K108" s="17" t="n"/>
      <c r="L108" s="17" t="n"/>
      <c r="M108" s="17" t="n"/>
      <c r="N108" s="17" t="n"/>
      <c r="O108" s="17" t="n"/>
    </row>
    <row r="109" ht="15" customHeight="1" s="11">
      <c r="A109" s="14" t="n"/>
      <c r="B109" s="14" t="n"/>
      <c r="C109" s="14" t="n"/>
      <c r="D109" s="14" t="n"/>
      <c r="E109" s="14">
        <f>IF(AND(A109&lt;&gt;"",B109&lt;&gt;"",D109&lt;&gt;""),UPPER(SUBSTITUTE(A109," ","-"))&amp;"-"&amp;UPPER(SUBSTITUTE(B109," ","-"))&amp;"-"&amp;UPPER(SUBSTITUTE(D109," ","-")),"")</f>
        <v/>
      </c>
      <c r="F109" s="14" t="n"/>
      <c r="G109" s="15" t="n"/>
      <c r="H109" s="15" t="n"/>
      <c r="I109" s="16" t="n"/>
      <c r="J109" s="17" t="n"/>
      <c r="K109" s="17" t="n"/>
      <c r="L109" s="17" t="n"/>
      <c r="M109" s="17" t="n"/>
      <c r="N109" s="17" t="n"/>
      <c r="O109" s="17" t="n"/>
    </row>
    <row r="110" ht="15" customHeight="1" s="11">
      <c r="A110" s="14" t="n"/>
      <c r="B110" s="14" t="n"/>
      <c r="C110" s="14" t="n"/>
      <c r="D110" s="14" t="n"/>
      <c r="E110" s="14">
        <f>IF(AND(A110&lt;&gt;"",B110&lt;&gt;"",D110&lt;&gt;""),UPPER(SUBSTITUTE(A110," ","-"))&amp;"-"&amp;UPPER(SUBSTITUTE(B110," ","-"))&amp;"-"&amp;UPPER(SUBSTITUTE(D110," ","-")),"")</f>
        <v/>
      </c>
      <c r="F110" s="14" t="n"/>
      <c r="G110" s="15" t="n"/>
      <c r="H110" s="15" t="n"/>
      <c r="I110" s="16" t="n"/>
      <c r="J110" s="17" t="n"/>
      <c r="K110" s="17" t="n"/>
      <c r="L110" s="17" t="n"/>
      <c r="M110" s="17" t="n"/>
      <c r="N110" s="17" t="n"/>
      <c r="O110" s="17" t="n"/>
    </row>
    <row r="111" ht="15" customHeight="1" s="11">
      <c r="A111" s="14" t="n"/>
      <c r="B111" s="14" t="n"/>
      <c r="C111" s="14" t="n"/>
      <c r="D111" s="14" t="n"/>
      <c r="E111" s="14">
        <f>IF(AND(A111&lt;&gt;"",B111&lt;&gt;"",D111&lt;&gt;""),UPPER(SUBSTITUTE(A111," ","-"))&amp;"-"&amp;UPPER(SUBSTITUTE(B111," ","-"))&amp;"-"&amp;UPPER(SUBSTITUTE(D111," ","-")),"")</f>
        <v/>
      </c>
      <c r="F111" s="14" t="n"/>
      <c r="G111" s="15" t="n"/>
      <c r="H111" s="15" t="n"/>
      <c r="I111" s="16" t="n"/>
      <c r="J111" s="17" t="n"/>
      <c r="K111" s="17" t="n"/>
      <c r="L111" s="17" t="n"/>
      <c r="M111" s="17" t="n"/>
      <c r="N111" s="17" t="n"/>
      <c r="O111" s="17" t="n"/>
    </row>
    <row r="112" ht="15" customHeight="1" s="11">
      <c r="A112" s="14" t="n"/>
      <c r="B112" s="14" t="n"/>
      <c r="C112" s="14" t="n"/>
      <c r="D112" s="14" t="n"/>
      <c r="E112" s="14">
        <f>IF(AND(A112&lt;&gt;"",B112&lt;&gt;"",D112&lt;&gt;""),UPPER(SUBSTITUTE(A112," ","-"))&amp;"-"&amp;UPPER(SUBSTITUTE(B112," ","-"))&amp;"-"&amp;UPPER(SUBSTITUTE(D112," ","-")),"")</f>
        <v/>
      </c>
      <c r="F112" s="14" t="n"/>
      <c r="G112" s="15" t="n"/>
      <c r="H112" s="15" t="n"/>
      <c r="I112" s="16" t="n"/>
      <c r="J112" s="17" t="n"/>
      <c r="K112" s="17" t="n"/>
      <c r="L112" s="17" t="n"/>
      <c r="M112" s="17" t="n"/>
      <c r="N112" s="17" t="n"/>
      <c r="O112" s="17" t="n"/>
    </row>
    <row r="113" ht="15" customHeight="1" s="11">
      <c r="A113" s="14" t="n"/>
      <c r="B113" s="14" t="n"/>
      <c r="C113" s="14" t="n"/>
      <c r="D113" s="14" t="n"/>
      <c r="E113" s="14">
        <f>IF(AND(A113&lt;&gt;"",B113&lt;&gt;"",D113&lt;&gt;""),UPPER(SUBSTITUTE(A113," ","-"))&amp;"-"&amp;UPPER(SUBSTITUTE(B113," ","-"))&amp;"-"&amp;UPPER(SUBSTITUTE(D113," ","-")),"")</f>
        <v/>
      </c>
      <c r="F113" s="14" t="n"/>
      <c r="G113" s="15" t="n"/>
      <c r="H113" s="15" t="n"/>
      <c r="I113" s="16" t="n"/>
      <c r="J113" s="17" t="n"/>
      <c r="K113" s="17" t="n"/>
      <c r="L113" s="17" t="n"/>
      <c r="M113" s="17" t="n"/>
      <c r="N113" s="17" t="n"/>
      <c r="O113" s="17" t="n"/>
    </row>
    <row r="114" ht="15" customHeight="1" s="11">
      <c r="A114" s="14" t="n"/>
      <c r="B114" s="14" t="n"/>
      <c r="C114" s="14" t="n"/>
      <c r="D114" s="14" t="n"/>
      <c r="E114" s="14">
        <f>IF(AND(A114&lt;&gt;"",B114&lt;&gt;"",D114&lt;&gt;""),UPPER(SUBSTITUTE(A114," ","-"))&amp;"-"&amp;UPPER(SUBSTITUTE(B114," ","-"))&amp;"-"&amp;UPPER(SUBSTITUTE(D114," ","-")),"")</f>
        <v/>
      </c>
      <c r="F114" s="14" t="n"/>
      <c r="G114" s="15" t="n"/>
      <c r="H114" s="15" t="n"/>
      <c r="I114" s="16" t="n"/>
      <c r="J114" s="17" t="n"/>
      <c r="K114" s="17" t="n"/>
      <c r="L114" s="17" t="n"/>
      <c r="M114" s="17" t="n"/>
      <c r="N114" s="17" t="n"/>
      <c r="O114" s="17" t="n"/>
    </row>
    <row r="115" ht="15" customHeight="1" s="11">
      <c r="A115" s="14" t="n"/>
      <c r="B115" s="14" t="n"/>
      <c r="C115" s="14" t="n"/>
      <c r="D115" s="14" t="n"/>
      <c r="E115" s="14">
        <f>IF(AND(A115&lt;&gt;"",B115&lt;&gt;"",D115&lt;&gt;""),UPPER(SUBSTITUTE(A115," ","-"))&amp;"-"&amp;UPPER(SUBSTITUTE(B115," ","-"))&amp;"-"&amp;UPPER(SUBSTITUTE(D115," ","-")),"")</f>
        <v/>
      </c>
      <c r="F115" s="14" t="n"/>
      <c r="G115" s="15" t="n"/>
      <c r="H115" s="15" t="n"/>
      <c r="I115" s="16" t="n"/>
      <c r="J115" s="17" t="n"/>
      <c r="K115" s="17" t="n"/>
      <c r="L115" s="17" t="n"/>
      <c r="M115" s="17" t="n"/>
      <c r="N115" s="17" t="n"/>
      <c r="O115" s="17" t="n"/>
    </row>
    <row r="116" ht="15" customHeight="1" s="11">
      <c r="A116" s="14" t="n"/>
      <c r="B116" s="14" t="n"/>
      <c r="C116" s="14" t="n"/>
      <c r="D116" s="14" t="n"/>
      <c r="E116" s="14">
        <f>IF(AND(A116&lt;&gt;"",B116&lt;&gt;"",D116&lt;&gt;""),UPPER(SUBSTITUTE(A116," ","-"))&amp;"-"&amp;UPPER(SUBSTITUTE(B116," ","-"))&amp;"-"&amp;UPPER(SUBSTITUTE(D116," ","-")),"")</f>
        <v/>
      </c>
      <c r="F116" s="14" t="n"/>
      <c r="G116" s="15" t="n"/>
      <c r="H116" s="15" t="n"/>
      <c r="I116" s="16" t="n"/>
      <c r="J116" s="17" t="n"/>
      <c r="K116" s="17" t="n"/>
      <c r="L116" s="17" t="n"/>
      <c r="M116" s="17" t="n"/>
      <c r="N116" s="17" t="n"/>
      <c r="O116" s="17" t="n"/>
    </row>
    <row r="117" ht="15" customHeight="1" s="11">
      <c r="A117" s="14" t="n"/>
      <c r="B117" s="14" t="n"/>
      <c r="C117" s="14" t="n"/>
      <c r="D117" s="14" t="n"/>
      <c r="E117" s="14">
        <f>IF(AND(A117&lt;&gt;"",B117&lt;&gt;"",D117&lt;&gt;""),UPPER(SUBSTITUTE(A117," ","-"))&amp;"-"&amp;UPPER(SUBSTITUTE(B117," ","-"))&amp;"-"&amp;UPPER(SUBSTITUTE(D117," ","-")),"")</f>
        <v/>
      </c>
      <c r="F117" s="14" t="n"/>
      <c r="G117" s="15" t="n"/>
      <c r="H117" s="15" t="n"/>
      <c r="I117" s="16" t="n"/>
      <c r="J117" s="17" t="n"/>
      <c r="K117" s="17" t="n"/>
      <c r="L117" s="17" t="n"/>
      <c r="M117" s="17" t="n"/>
      <c r="N117" s="17" t="n"/>
      <c r="O117" s="17" t="n"/>
    </row>
  </sheetData>
  <autoFilter ref="A2:O2"/>
  <dataValidations count="3">
    <dataValidation sqref="C3:C117" showDropDown="0" showInputMessage="0" showErrorMessage="0" allowBlank="1" type="list" errorStyle="stop" operator="between">
      <formula1>"EDP,EDT,EDC,Parfum,Eau Fraiche,Cologne"</formula1>
      <formula2>0</formula2>
    </dataValidation>
    <dataValidation sqref="J3:J117" showDropDown="0" showInputMessage="0" showErrorMessage="0" allowBlank="1" type="list" errorStyle="stop" operator="between">
      <formula1>"Citrus,Floral,Woody,Amber/Oriental,Fresh/Aquatic,Gourmand,Fougère,Chypre,Aromatic,Green,Leather,Spicy"</formula1>
      <formula2>0</formula2>
    </dataValidation>
    <dataValidation sqref="N3:N117" showDropDown="0" showInputMessage="0" showErrorMessage="0" allowBlank="1" type="list" errorStyle="stop" operator="between">
      <formula1>"Masculine,Feminine,Unisex"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0" min="1" max="1"/>
  </cols>
  <sheetData>
    <row r="1" ht="16.15" customHeight="1" s="11">
      <c r="A1" s="18" t="inlineStr">
        <is>
          <t>Perfume Inventory — 100 sample bestsellers (placeholder data)</t>
        </is>
      </c>
    </row>
    <row r="2" ht="15" customHeight="1" s="11">
      <c r="A2" s="19" t="n"/>
    </row>
    <row r="3" ht="26.85" customHeight="1" s="11">
      <c r="A3" s="19" t="inlineStr">
        <is>
          <t>This is realistic PLACEHOLDER data so we can build and test the Square import now. Replace with the real count when it arrives.</t>
        </is>
      </c>
    </row>
    <row r="4" ht="15" customHeight="1" s="11">
      <c r="A4" s="19" t="n"/>
    </row>
    <row r="5" ht="15" customHeight="1" s="11">
      <c r="A5" s="20" t="inlineStr">
        <is>
          <t>What's real vs. placeholder:</t>
        </is>
      </c>
    </row>
    <row r="6" ht="15" customHeight="1" s="11">
      <c r="A6" s="19" t="inlineStr">
        <is>
          <t xml:space="preserve">   • Brands, names, concentrations, scent families and note pyramids are real product info.</t>
        </is>
      </c>
    </row>
    <row r="7" ht="15" customHeight="1" s="11">
      <c r="A7" s="19" t="inlineStr">
        <is>
          <t xml:space="preserve">   • Prices are approximate street prices — verify against the shop's actual pricing.</t>
        </is>
      </c>
    </row>
    <row r="8" ht="15" customHeight="1" s="11">
      <c r="A8" s="19" t="inlineStr">
        <is>
          <t xml:space="preserve">   • Cost is estimated at ~55% of price — replace with the shop's real cost.</t>
        </is>
      </c>
    </row>
    <row r="9" ht="26.85" customHeight="1" s="11">
      <c r="A9" s="19" t="inlineStr">
        <is>
          <t xml:space="preserve">   • Barcodes are synthetic (200... prefix = the range reserved for in-store use). Swap in real UPCs when counting.</t>
        </is>
      </c>
    </row>
    <row r="10" ht="15" customHeight="1" s="11">
      <c r="A10" s="19" t="inlineStr">
        <is>
          <t xml:space="preserve">   • Quantities are random placeholders.</t>
        </is>
      </c>
    </row>
    <row r="11" ht="15" customHeight="1" s="11">
      <c r="A11" s="19" t="inlineStr">
        <is>
          <t xml:space="preserve">   • Descriptions are auto-generated in a neutral voice — rewrite in the shop's own voice later.</t>
        </is>
      </c>
    </row>
    <row r="12" ht="15" customHeight="1" s="11">
      <c r="A12" s="19" t="n"/>
    </row>
    <row r="13" ht="15" customHeight="1" s="11">
      <c r="A13" s="19" t="inlineStr">
        <is>
          <t>SKU auto-generates as BRAND-NAME-SIZE from Brand, Product Name, and Size. Don't type it.</t>
        </is>
      </c>
    </row>
    <row r="14" ht="15" customHeight="1" s="11">
      <c r="A14" s="19" t="inlineStr">
        <is>
          <t>One row per size. Cream = catalog (goes to Square). Terracotta = scent fields (power recommendations).</t>
        </is>
      </c>
    </row>
    <row r="15" ht="15" customHeight="1" s="11">
      <c r="A15" s="19" t="inlineStr">
        <is>
          <t>15 blank rows are left at the bottom for you to add 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2026-07-01T17:56:12Z</dcterms:created>
  <dcterms:modified xsi:type="dcterms:W3CDTF">2026-08-07T18:43:20Z</dcterms:modified>
  <cp:revision>0</cp:revision>
</cp:coreProperties>
</file>